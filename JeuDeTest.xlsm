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LandEHse\test\"/>
    </mc:Choice>
  </mc:AlternateContent>
  <xr:revisionPtr revIDLastSave="0" documentId="13_ncr:1_{16EBD991-595C-431A-92F2-36CA50FF32D3}" xr6:coauthVersionLast="38" xr6:coauthVersionMax="38" xr10:uidLastSave="{00000000-0000-0000-0000-000000000000}"/>
  <bookViews>
    <workbookView xWindow="0" yWindow="0" windowWidth="23040" windowHeight="9000" activeTab="2" xr2:uid="{A851FAEB-4479-456C-A8BF-14FC2A74964D}"/>
  </bookViews>
  <sheets>
    <sheet name="Feuil1" sheetId="1" r:id="rId1"/>
    <sheet name="Plats" sheetId="2" r:id="rId2"/>
    <sheet name="Prix" sheetId="3" r:id="rId3"/>
    <sheet name="Feuil2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L6" i="2" l="1"/>
  <c r="AL7" i="2"/>
  <c r="AL8" i="2"/>
  <c r="AL5" i="2"/>
  <c r="AL4" i="2"/>
  <c r="AL3" i="2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C2" i="4"/>
  <c r="AD2" i="4"/>
  <c r="AE2" i="4"/>
  <c r="AF2" i="4"/>
  <c r="AG2" i="4"/>
  <c r="AH2" i="4"/>
  <c r="AI2" i="4"/>
  <c r="AJ2" i="4"/>
  <c r="AK2" i="4"/>
  <c r="B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AD3" i="4"/>
  <c r="AE3" i="4"/>
  <c r="AF3" i="4"/>
  <c r="AG3" i="4"/>
  <c r="AH3" i="4"/>
  <c r="AI3" i="4"/>
  <c r="AJ3" i="4"/>
  <c r="AK3" i="4"/>
  <c r="B4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AD4" i="4"/>
  <c r="AE4" i="4"/>
  <c r="AF4" i="4"/>
  <c r="AG4" i="4"/>
  <c r="AH4" i="4"/>
  <c r="AI4" i="4"/>
  <c r="AJ4" i="4"/>
  <c r="AK4" i="4"/>
  <c r="B5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AD5" i="4"/>
  <c r="AE5" i="4"/>
  <c r="AF5" i="4"/>
  <c r="AG5" i="4"/>
  <c r="AH5" i="4"/>
  <c r="AI5" i="4"/>
  <c r="AJ5" i="4"/>
  <c r="AK5" i="4"/>
  <c r="B6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AD6" i="4"/>
  <c r="AE6" i="4"/>
  <c r="AF6" i="4"/>
  <c r="AG6" i="4"/>
  <c r="AH6" i="4"/>
  <c r="AI6" i="4"/>
  <c r="AJ6" i="4"/>
  <c r="AK6" i="4"/>
  <c r="B7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AD7" i="4"/>
  <c r="AE7" i="4"/>
  <c r="AF7" i="4"/>
  <c r="AG7" i="4"/>
  <c r="AH7" i="4"/>
  <c r="AI7" i="4"/>
  <c r="AJ7" i="4"/>
  <c r="AK7" i="4"/>
  <c r="B8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AD8" i="4"/>
  <c r="AE8" i="4"/>
  <c r="AF8" i="4"/>
  <c r="AG8" i="4"/>
  <c r="AH8" i="4"/>
  <c r="AI8" i="4"/>
  <c r="AJ8" i="4"/>
  <c r="AK8" i="4"/>
  <c r="Q1" i="4"/>
  <c r="R1" i="4"/>
  <c r="S1" i="4"/>
  <c r="T1" i="4"/>
  <c r="U1" i="4"/>
  <c r="V1" i="4"/>
  <c r="W1" i="4"/>
  <c r="X1" i="4"/>
  <c r="Y1" i="4"/>
  <c r="Z1" i="4"/>
  <c r="AA1" i="4"/>
  <c r="AB1" i="4"/>
  <c r="AC1" i="4"/>
  <c r="AD1" i="4"/>
  <c r="AE1" i="4"/>
  <c r="AF1" i="4"/>
  <c r="AG1" i="4"/>
  <c r="AH1" i="4"/>
  <c r="AI1" i="4"/>
  <c r="AJ1" i="4"/>
  <c r="AK1" i="4"/>
  <c r="E1" i="4"/>
  <c r="F1" i="4"/>
  <c r="G1" i="4"/>
  <c r="H1" i="4"/>
  <c r="I1" i="4"/>
  <c r="J1" i="4"/>
  <c r="K1" i="4"/>
  <c r="L1" i="4"/>
  <c r="M1" i="4"/>
  <c r="N1" i="4"/>
  <c r="O1" i="4"/>
  <c r="P1" i="4"/>
  <c r="D1" i="4"/>
  <c r="C1" i="4"/>
  <c r="B9" i="4"/>
  <c r="B10" i="4"/>
  <c r="B1" i="4"/>
  <c r="AL5" i="4" l="1"/>
  <c r="AL7" i="4"/>
  <c r="AL8" i="4"/>
  <c r="AL6" i="4"/>
  <c r="AL4" i="4"/>
  <c r="AL3" i="4"/>
  <c r="AL2" i="4"/>
  <c r="AL1" i="4"/>
</calcChain>
</file>

<file path=xl/sharedStrings.xml><?xml version="1.0" encoding="utf-8"?>
<sst xmlns="http://schemas.openxmlformats.org/spreadsheetml/2006/main" count="63" uniqueCount="26">
  <si>
    <t>Chipirons</t>
  </si>
  <si>
    <t>Axoa</t>
  </si>
  <si>
    <t>GateauB</t>
  </si>
  <si>
    <t>Pot au feu</t>
  </si>
  <si>
    <t>Bœuf Bourguignon</t>
  </si>
  <si>
    <t>EscargotAilPersil</t>
  </si>
  <si>
    <t>AssietteLandaise</t>
  </si>
  <si>
    <t>Toutriere</t>
  </si>
  <si>
    <t>Pastis</t>
  </si>
  <si>
    <t>Prix</t>
  </si>
  <si>
    <t>Quantité</t>
  </si>
  <si>
    <t>BœufBourguignon</t>
  </si>
  <si>
    <t>PotAuFeu</t>
  </si>
  <si>
    <t>Total Colonne</t>
  </si>
  <si>
    <t>Total prix</t>
  </si>
  <si>
    <t>Total de la ligne</t>
  </si>
  <si>
    <t>Commandes</t>
  </si>
  <si>
    <t>GateauBasque</t>
  </si>
  <si>
    <t>BoeufBourguignon</t>
  </si>
  <si>
    <t>EscargotAilEtPersil</t>
  </si>
  <si>
    <t>Tourtiere</t>
  </si>
  <si>
    <t>Total</t>
  </si>
  <si>
    <t>plats * prix</t>
  </si>
  <si>
    <t>1 - 20</t>
  </si>
  <si>
    <t xml:space="preserve">21 - 40 </t>
  </si>
  <si>
    <t>40 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</si>
</sst>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#,##0.00\ &quot;€&quot;;[Red]\-#,##0.00\ &quot;€&quot;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Fill="1"/>
    <xf numFmtId="0" fontId="0" fillId="0" borderId="1" xfId="0" applyFill="1" applyBorder="1"/>
    <xf numFmtId="8" fontId="0" fillId="0" borderId="0" xfId="0" applyNumberFormat="1" applyFill="1"/>
    <xf numFmtId="0" fontId="0" fillId="0" borderId="0" xfId="0" applyFill="1" applyBorder="1"/>
    <xf numFmtId="0" fontId="0" fillId="0" borderId="0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379479</xdr:colOff>
      <xdr:row>14</xdr:row>
      <xdr:rowOff>108544</xdr:rowOff>
    </xdr:from>
    <xdr:to>
      <xdr:col>8</xdr:col>
      <xdr:colOff>341379</xdr:colOff>
      <xdr:row>19</xdr:row>
      <xdr:rowOff>139025</xdr:rowOff>
    </xdr:to>
    <xdr:sp macro="" textlink="">
      <xdr:nvSpPr>
        <xdr:cNvPr id="2" name="Flèche : droite 1">
          <a:extLst>
            <a:ext uri="{FF2B5EF4-FFF2-40B4-BE49-F238E27FC236}">
              <a16:creationId xmlns:a16="http://schemas.microsoft.com/office/drawing/2014/main" id="{F277AC77-6155-484A-8741-7819114B7C3D}"/>
            </a:ext>
          </a:extLst>
        </xdr:cNvPr>
        <xdr:cNvSpPr/>
      </xdr:nvSpPr>
      <xdr:spPr>
        <a:xfrm>
          <a:off x="4663785" y="2721115"/>
          <a:ext cx="2341206" cy="963543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775B-1E46-4858-B096-464C0FEE5081}">
  <sheetPr codeName="Feuil1"/>
  <dimension ref="A4:P30"/>
  <sheetViews>
    <sheetView topLeftCell="A10" zoomScale="98" workbookViewId="0">
      <selection activeCell="A21" sqref="A21:E30"/>
    </sheetView>
  </sheetViews>
  <sheetFormatPr baseColWidth="10" defaultRowHeight="14.4" x14ac:dyDescent="0.3"/>
  <cols>
    <col min="1" max="1" width="16.21875" style="1" bestFit="1" customWidth="1"/>
    <col min="2" max="9" width="11.5546875" style="1"/>
    <col min="10" max="10" width="16.21875" style="1" bestFit="1" customWidth="1"/>
    <col min="11" max="15" width="11.5546875" style="1"/>
    <col min="16" max="16" width="13.77734375" style="1" bestFit="1" customWidth="1"/>
    <col min="17" max="16384" width="11.5546875" style="1"/>
  </cols>
  <sheetData>
    <row r="4" spans="1:16" x14ac:dyDescent="0.3">
      <c r="E4" s="3"/>
    </row>
    <row r="5" spans="1:16" x14ac:dyDescent="0.3">
      <c r="A5" s="1" t="s">
        <v>10</v>
      </c>
      <c r="G5" s="3"/>
    </row>
    <row r="6" spans="1:16" x14ac:dyDescent="0.3">
      <c r="A6" s="2"/>
      <c r="B6" s="2">
        <v>1</v>
      </c>
      <c r="C6" s="2">
        <v>2</v>
      </c>
      <c r="D6" s="2">
        <v>4</v>
      </c>
      <c r="E6" s="2">
        <v>8</v>
      </c>
      <c r="I6" s="3"/>
    </row>
    <row r="7" spans="1:16" x14ac:dyDescent="0.3">
      <c r="A7" s="2" t="s">
        <v>0</v>
      </c>
      <c r="B7" s="2">
        <v>0</v>
      </c>
      <c r="C7" s="2">
        <v>0</v>
      </c>
      <c r="D7" s="2">
        <v>1</v>
      </c>
      <c r="E7" s="2">
        <v>2</v>
      </c>
    </row>
    <row r="8" spans="1:16" x14ac:dyDescent="0.3">
      <c r="A8" s="2" t="s">
        <v>1</v>
      </c>
      <c r="B8" s="2">
        <v>25</v>
      </c>
      <c r="C8" s="2">
        <v>0</v>
      </c>
      <c r="D8" s="2">
        <v>25</v>
      </c>
      <c r="E8" s="2">
        <v>0</v>
      </c>
    </row>
    <row r="9" spans="1:16" x14ac:dyDescent="0.3">
      <c r="A9" s="2" t="s">
        <v>2</v>
      </c>
      <c r="B9" s="2">
        <v>0</v>
      </c>
      <c r="C9" s="2">
        <v>0</v>
      </c>
      <c r="D9" s="2">
        <v>2</v>
      </c>
      <c r="E9" s="2">
        <v>4</v>
      </c>
    </row>
    <row r="10" spans="1:16" x14ac:dyDescent="0.3">
      <c r="A10" s="2" t="s">
        <v>3</v>
      </c>
      <c r="B10" s="2">
        <v>3</v>
      </c>
      <c r="C10" s="2">
        <v>4</v>
      </c>
      <c r="D10" s="2">
        <v>5</v>
      </c>
      <c r="E10" s="2">
        <v>10</v>
      </c>
    </row>
    <row r="11" spans="1:16" x14ac:dyDescent="0.3">
      <c r="A11" s="2" t="s">
        <v>4</v>
      </c>
      <c r="B11" s="2">
        <v>2</v>
      </c>
      <c r="C11" s="2">
        <v>0</v>
      </c>
      <c r="D11" s="2">
        <v>10</v>
      </c>
      <c r="E11" s="2">
        <v>0</v>
      </c>
    </row>
    <row r="12" spans="1:16" x14ac:dyDescent="0.3">
      <c r="A12" s="2" t="s">
        <v>5</v>
      </c>
      <c r="B12" s="2">
        <v>0</v>
      </c>
      <c r="C12" s="2">
        <v>5</v>
      </c>
      <c r="D12" s="2">
        <v>0</v>
      </c>
      <c r="E12" s="2">
        <v>0</v>
      </c>
    </row>
    <row r="13" spans="1:16" x14ac:dyDescent="0.3">
      <c r="A13" s="2" t="s">
        <v>6</v>
      </c>
      <c r="B13" s="2">
        <v>3</v>
      </c>
      <c r="C13" s="2">
        <v>2</v>
      </c>
      <c r="D13" s="2">
        <v>10</v>
      </c>
      <c r="E13" s="2">
        <v>5</v>
      </c>
      <c r="J13" s="2"/>
      <c r="K13" s="2">
        <v>1</v>
      </c>
      <c r="L13" s="2">
        <v>2</v>
      </c>
      <c r="M13" s="2">
        <v>4</v>
      </c>
      <c r="N13" s="2">
        <v>8</v>
      </c>
      <c r="P13" s="1" t="s">
        <v>15</v>
      </c>
    </row>
    <row r="14" spans="1:16" x14ac:dyDescent="0.3">
      <c r="A14" s="2" t="s">
        <v>7</v>
      </c>
      <c r="B14" s="2">
        <v>0</v>
      </c>
      <c r="C14" s="2">
        <v>0</v>
      </c>
      <c r="D14" s="2">
        <v>4</v>
      </c>
      <c r="E14" s="2">
        <v>2</v>
      </c>
      <c r="J14" s="2" t="s">
        <v>0</v>
      </c>
      <c r="K14" s="2">
        <v>0</v>
      </c>
      <c r="L14" s="2">
        <v>0</v>
      </c>
      <c r="M14" s="2">
        <v>19</v>
      </c>
      <c r="N14" s="2">
        <v>74</v>
      </c>
      <c r="P14" s="1">
        <v>93</v>
      </c>
    </row>
    <row r="15" spans="1:16" x14ac:dyDescent="0.3">
      <c r="A15" s="2" t="s">
        <v>8</v>
      </c>
      <c r="B15" s="2">
        <v>0</v>
      </c>
      <c r="C15" s="2">
        <v>0</v>
      </c>
      <c r="D15" s="2">
        <v>5</v>
      </c>
      <c r="E15" s="2">
        <v>5</v>
      </c>
      <c r="J15" s="2" t="s">
        <v>1</v>
      </c>
      <c r="K15" s="2">
        <v>75</v>
      </c>
      <c r="L15" s="2">
        <v>0</v>
      </c>
      <c r="M15" s="2">
        <v>225</v>
      </c>
      <c r="N15" s="2">
        <v>0</v>
      </c>
      <c r="P15" s="1">
        <v>300</v>
      </c>
    </row>
    <row r="16" spans="1:16" x14ac:dyDescent="0.3">
      <c r="J16" s="2" t="s">
        <v>2</v>
      </c>
      <c r="K16" s="2">
        <v>0</v>
      </c>
      <c r="L16" s="2">
        <v>0</v>
      </c>
      <c r="M16" s="2">
        <v>28</v>
      </c>
      <c r="N16" s="2">
        <v>92</v>
      </c>
      <c r="P16" s="1">
        <v>120</v>
      </c>
    </row>
    <row r="17" spans="1:16" x14ac:dyDescent="0.3">
      <c r="J17" s="2" t="s">
        <v>12</v>
      </c>
      <c r="K17" s="2">
        <v>15</v>
      </c>
      <c r="L17" s="2">
        <v>36</v>
      </c>
      <c r="M17" s="2">
        <v>85</v>
      </c>
      <c r="N17" s="2">
        <v>330</v>
      </c>
      <c r="P17" s="1">
        <v>466</v>
      </c>
    </row>
    <row r="18" spans="1:16" x14ac:dyDescent="0.3">
      <c r="J18" s="2" t="s">
        <v>11</v>
      </c>
      <c r="K18" s="2">
        <v>12</v>
      </c>
      <c r="L18" s="2">
        <v>0</v>
      </c>
      <c r="M18" s="2">
        <v>210</v>
      </c>
      <c r="N18" s="2">
        <v>0</v>
      </c>
      <c r="P18" s="1">
        <v>222</v>
      </c>
    </row>
    <row r="19" spans="1:16" x14ac:dyDescent="0.3">
      <c r="J19" s="2" t="s">
        <v>5</v>
      </c>
      <c r="K19" s="2">
        <v>0</v>
      </c>
      <c r="L19" s="2">
        <v>65</v>
      </c>
      <c r="M19" s="2">
        <v>0</v>
      </c>
      <c r="N19" s="2">
        <v>0</v>
      </c>
      <c r="P19" s="1">
        <v>65</v>
      </c>
    </row>
    <row r="20" spans="1:16" x14ac:dyDescent="0.3">
      <c r="A20" s="1" t="s">
        <v>9</v>
      </c>
      <c r="J20" s="2" t="s">
        <v>6</v>
      </c>
      <c r="K20" s="2">
        <v>10.5</v>
      </c>
      <c r="L20" s="2">
        <v>12</v>
      </c>
      <c r="M20" s="2">
        <v>110</v>
      </c>
      <c r="N20" s="2">
        <v>105</v>
      </c>
      <c r="P20" s="1">
        <v>237.5</v>
      </c>
    </row>
    <row r="21" spans="1:16" x14ac:dyDescent="0.3">
      <c r="A21" s="2"/>
      <c r="B21" s="2">
        <v>1</v>
      </c>
      <c r="C21" s="2">
        <v>2</v>
      </c>
      <c r="D21" s="2">
        <v>4</v>
      </c>
      <c r="E21" s="2">
        <v>8</v>
      </c>
      <c r="J21" s="2" t="s">
        <v>7</v>
      </c>
      <c r="K21" s="2">
        <v>0</v>
      </c>
      <c r="L21" s="2">
        <v>0</v>
      </c>
      <c r="M21" s="2">
        <v>24</v>
      </c>
      <c r="N21" s="2">
        <v>22</v>
      </c>
      <c r="P21" s="1">
        <v>46</v>
      </c>
    </row>
    <row r="22" spans="1:16" x14ac:dyDescent="0.3">
      <c r="A22" s="2" t="s">
        <v>0</v>
      </c>
      <c r="B22" s="2">
        <v>0</v>
      </c>
      <c r="C22" s="2">
        <v>10</v>
      </c>
      <c r="D22" s="2">
        <v>19</v>
      </c>
      <c r="E22" s="2">
        <v>37</v>
      </c>
      <c r="J22" s="2" t="s">
        <v>8</v>
      </c>
      <c r="K22" s="2">
        <v>0</v>
      </c>
      <c r="L22" s="2">
        <v>0</v>
      </c>
      <c r="M22" s="2">
        <v>57.5</v>
      </c>
      <c r="N22" s="2">
        <v>110</v>
      </c>
      <c r="P22" s="1">
        <v>167.5</v>
      </c>
    </row>
    <row r="23" spans="1:16" x14ac:dyDescent="0.3">
      <c r="A23" s="2" t="s">
        <v>1</v>
      </c>
      <c r="B23" s="2">
        <v>3</v>
      </c>
      <c r="C23" s="2">
        <v>5</v>
      </c>
      <c r="D23" s="2">
        <v>9</v>
      </c>
      <c r="E23" s="2">
        <v>17</v>
      </c>
    </row>
    <row r="24" spans="1:16" x14ac:dyDescent="0.3">
      <c r="A24" s="2" t="s">
        <v>2</v>
      </c>
      <c r="B24" s="2">
        <v>0</v>
      </c>
      <c r="C24" s="2">
        <v>0</v>
      </c>
      <c r="D24" s="2">
        <v>14</v>
      </c>
      <c r="E24" s="2">
        <v>23</v>
      </c>
      <c r="J24" s="1" t="s">
        <v>13</v>
      </c>
      <c r="K24" s="1">
        <v>112.5</v>
      </c>
      <c r="L24" s="1">
        <v>113</v>
      </c>
      <c r="M24" s="1">
        <v>758.5</v>
      </c>
      <c r="N24" s="1">
        <v>733</v>
      </c>
      <c r="O24" s="1" t="s">
        <v>14</v>
      </c>
      <c r="P24" s="1">
        <v>1717</v>
      </c>
    </row>
    <row r="25" spans="1:16" x14ac:dyDescent="0.3">
      <c r="A25" s="2" t="s">
        <v>3</v>
      </c>
      <c r="B25" s="2">
        <v>5</v>
      </c>
      <c r="C25" s="2">
        <v>9</v>
      </c>
      <c r="D25" s="2">
        <v>17</v>
      </c>
      <c r="E25" s="2">
        <v>33</v>
      </c>
    </row>
    <row r="26" spans="1:16" x14ac:dyDescent="0.3">
      <c r="A26" s="2" t="s">
        <v>4</v>
      </c>
      <c r="B26" s="2">
        <v>6</v>
      </c>
      <c r="C26" s="2">
        <v>11</v>
      </c>
      <c r="D26" s="2">
        <v>21</v>
      </c>
      <c r="E26" s="2">
        <v>41</v>
      </c>
    </row>
    <row r="27" spans="1:16" x14ac:dyDescent="0.3">
      <c r="A27" s="2" t="s">
        <v>5</v>
      </c>
      <c r="B27" s="2">
        <v>7</v>
      </c>
      <c r="C27" s="2">
        <v>13</v>
      </c>
      <c r="D27" s="2">
        <v>0</v>
      </c>
      <c r="E27" s="2">
        <v>0</v>
      </c>
      <c r="O27" s="3"/>
    </row>
    <row r="28" spans="1:16" x14ac:dyDescent="0.3">
      <c r="A28" s="2" t="s">
        <v>6</v>
      </c>
      <c r="B28" s="2">
        <v>3.5</v>
      </c>
      <c r="C28" s="2">
        <v>6</v>
      </c>
      <c r="D28" s="2">
        <v>11</v>
      </c>
      <c r="E28" s="2">
        <v>21</v>
      </c>
    </row>
    <row r="29" spans="1:16" x14ac:dyDescent="0.3">
      <c r="A29" s="2" t="s">
        <v>7</v>
      </c>
      <c r="B29" s="2">
        <v>0</v>
      </c>
      <c r="C29" s="2">
        <v>0</v>
      </c>
      <c r="D29" s="2">
        <v>6</v>
      </c>
      <c r="E29" s="2">
        <v>11</v>
      </c>
    </row>
    <row r="30" spans="1:16" x14ac:dyDescent="0.3">
      <c r="A30" s="2" t="s">
        <v>8</v>
      </c>
      <c r="B30" s="2">
        <v>0</v>
      </c>
      <c r="C30" s="2">
        <v>0</v>
      </c>
      <c r="D30" s="2">
        <v>11.5</v>
      </c>
      <c r="E30" s="2">
        <v>22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6FFB2-BB43-45F7-B7B0-BDA6F5744AA7}">
  <dimension ref="A1:AP30"/>
  <sheetViews>
    <sheetView workbookViewId="0">
      <selection activeCell="AL8" sqref="AL8"/>
    </sheetView>
  </sheetViews>
  <sheetFormatPr baseColWidth="10" defaultRowHeight="14.4" x14ac:dyDescent="0.3"/>
  <cols>
    <col min="2" max="12" width="3.77734375" customWidth="1"/>
    <col min="13" max="13" width="5" bestFit="1" customWidth="1"/>
    <col min="14" max="37" width="3.77734375" customWidth="1"/>
  </cols>
  <sheetData>
    <row r="1" spans="1:42" x14ac:dyDescent="0.3">
      <c r="A1" s="7" t="s">
        <v>16</v>
      </c>
      <c r="B1" s="6" t="s">
        <v>0</v>
      </c>
      <c r="C1" s="6"/>
      <c r="D1" s="6"/>
      <c r="E1" s="6"/>
      <c r="F1" s="6" t="s">
        <v>1</v>
      </c>
      <c r="G1" s="6"/>
      <c r="H1" s="6"/>
      <c r="I1" s="6"/>
      <c r="J1" s="6" t="s">
        <v>17</v>
      </c>
      <c r="K1" s="6"/>
      <c r="L1" s="6"/>
      <c r="M1" s="6"/>
      <c r="N1" s="6" t="s">
        <v>12</v>
      </c>
      <c r="O1" s="6"/>
      <c r="P1" s="6"/>
      <c r="Q1" s="6"/>
      <c r="R1" s="6" t="s">
        <v>18</v>
      </c>
      <c r="S1" s="6"/>
      <c r="T1" s="6"/>
      <c r="U1" s="6"/>
      <c r="V1" s="6" t="s">
        <v>19</v>
      </c>
      <c r="W1" s="6"/>
      <c r="X1" s="6"/>
      <c r="Y1" s="6"/>
      <c r="Z1" t="s">
        <v>6</v>
      </c>
      <c r="AD1" s="6" t="s">
        <v>20</v>
      </c>
      <c r="AE1" s="6"/>
      <c r="AF1" s="6"/>
      <c r="AG1" s="6"/>
      <c r="AH1" s="6" t="s">
        <v>8</v>
      </c>
      <c r="AI1" s="6"/>
      <c r="AJ1" s="6"/>
      <c r="AK1" s="6"/>
      <c r="AL1" s="7" t="s">
        <v>21</v>
      </c>
    </row>
    <row r="2" spans="1:42" x14ac:dyDescent="0.3">
      <c r="A2" s="7"/>
      <c r="B2" s="2">
        <v>1</v>
      </c>
      <c r="C2" s="2">
        <v>2</v>
      </c>
      <c r="D2" s="2">
        <v>4</v>
      </c>
      <c r="E2" s="2">
        <v>8</v>
      </c>
      <c r="F2" s="2">
        <v>1</v>
      </c>
      <c r="G2" s="2">
        <v>2</v>
      </c>
      <c r="H2" s="2">
        <v>4</v>
      </c>
      <c r="I2" s="2">
        <v>8</v>
      </c>
      <c r="J2" s="2">
        <v>1</v>
      </c>
      <c r="K2" s="2">
        <v>2</v>
      </c>
      <c r="L2" s="2">
        <v>4</v>
      </c>
      <c r="M2" s="2">
        <v>8</v>
      </c>
      <c r="N2" s="2">
        <v>1</v>
      </c>
      <c r="O2" s="2">
        <v>2</v>
      </c>
      <c r="P2" s="2">
        <v>4</v>
      </c>
      <c r="Q2" s="2">
        <v>8</v>
      </c>
      <c r="R2" s="2">
        <v>1</v>
      </c>
      <c r="S2" s="2">
        <v>2</v>
      </c>
      <c r="T2" s="2">
        <v>4</v>
      </c>
      <c r="U2" s="2">
        <v>8</v>
      </c>
      <c r="V2" s="2">
        <v>1</v>
      </c>
      <c r="W2" s="2">
        <v>2</v>
      </c>
      <c r="X2" s="2">
        <v>4</v>
      </c>
      <c r="Y2" s="2">
        <v>8</v>
      </c>
      <c r="Z2" s="2">
        <v>1</v>
      </c>
      <c r="AA2" s="2">
        <v>2</v>
      </c>
      <c r="AB2" s="2">
        <v>4</v>
      </c>
      <c r="AC2" s="2">
        <v>8</v>
      </c>
      <c r="AD2" s="2">
        <v>1</v>
      </c>
      <c r="AE2" s="2">
        <v>2</v>
      </c>
      <c r="AF2" s="2">
        <v>4</v>
      </c>
      <c r="AG2" s="2">
        <v>8</v>
      </c>
      <c r="AH2" s="2">
        <v>1</v>
      </c>
      <c r="AI2" s="2">
        <v>2</v>
      </c>
      <c r="AJ2" s="2">
        <v>4</v>
      </c>
      <c r="AK2" s="2">
        <v>8</v>
      </c>
      <c r="AL2" s="7"/>
    </row>
    <row r="3" spans="1:42" x14ac:dyDescent="0.3">
      <c r="A3">
        <v>1</v>
      </c>
      <c r="B3">
        <v>0</v>
      </c>
      <c r="C3">
        <v>0</v>
      </c>
      <c r="D3">
        <v>1</v>
      </c>
      <c r="E3">
        <v>2</v>
      </c>
      <c r="F3">
        <v>25</v>
      </c>
      <c r="G3">
        <v>0</v>
      </c>
      <c r="H3">
        <v>25</v>
      </c>
      <c r="I3">
        <v>0</v>
      </c>
      <c r="J3">
        <v>0</v>
      </c>
      <c r="K3">
        <v>0</v>
      </c>
      <c r="L3">
        <v>2</v>
      </c>
      <c r="M3">
        <v>4</v>
      </c>
      <c r="N3">
        <v>3</v>
      </c>
      <c r="O3">
        <v>4</v>
      </c>
      <c r="P3">
        <v>5</v>
      </c>
      <c r="Q3">
        <v>10</v>
      </c>
      <c r="R3">
        <v>2</v>
      </c>
      <c r="S3">
        <v>0</v>
      </c>
      <c r="T3">
        <v>10</v>
      </c>
      <c r="U3">
        <v>0</v>
      </c>
      <c r="V3">
        <v>0</v>
      </c>
      <c r="W3">
        <v>5</v>
      </c>
      <c r="X3">
        <v>0</v>
      </c>
      <c r="Y3">
        <v>0</v>
      </c>
      <c r="Z3">
        <v>3</v>
      </c>
      <c r="AA3">
        <v>2</v>
      </c>
      <c r="AB3">
        <v>10</v>
      </c>
      <c r="AC3">
        <v>5</v>
      </c>
      <c r="AD3">
        <v>0</v>
      </c>
      <c r="AE3">
        <v>0</v>
      </c>
      <c r="AF3">
        <v>4</v>
      </c>
      <c r="AG3">
        <v>2</v>
      </c>
      <c r="AH3">
        <v>0</v>
      </c>
      <c r="AI3">
        <v>0</v>
      </c>
      <c r="AJ3">
        <v>5</v>
      </c>
      <c r="AK3">
        <v>5</v>
      </c>
      <c r="AL3">
        <f>B3*Prix!B$3+C3*Prix!C$3+D3*Prix!D$3+E3*Prix!E$3+F3*Prix!F$3+G3*Prix!G$3+H3*Prix!H$3+I3*Prix!I$3+J3*Prix!J$3+K3*Prix!K$3+L3*Prix!L$3+M3*Prix!M$3+N3*Prix!N$3+O3*Prix!O$3+P3*Prix!P$3+Q3*Prix!Q$3+R3*Prix!R$3+S3*Prix!S$3+T3*Prix!T$3+U3*Prix!U$3+V3*Prix!V$3+W3*Prix!W$3+X3*Prix!X$3+Y3*Prix!Y$3+Z3*Prix!Z$3+AA3*Prix!AA$3+AB3*Prix!AB$3+AC3*Prix!AC$3+AD3*Prix!AD$3+AE3*Prix!AE$3+AF3*Prix!AF$3+AG3*Prix!AG$3+AH3*Prix!AH$3+AI3*Prix!AI$3+AJ3*Prix!AJ$3+AK3*Prix!AK$3</f>
        <v>1717</v>
      </c>
    </row>
    <row r="4" spans="1:42" x14ac:dyDescent="0.3">
      <c r="A4">
        <v>2</v>
      </c>
      <c r="B4">
        <v>0</v>
      </c>
      <c r="C4">
        <v>10</v>
      </c>
      <c r="D4">
        <v>15</v>
      </c>
      <c r="E4">
        <v>25</v>
      </c>
      <c r="F4">
        <v>25</v>
      </c>
      <c r="G4">
        <v>100</v>
      </c>
      <c r="H4">
        <v>20</v>
      </c>
      <c r="I4">
        <v>10</v>
      </c>
      <c r="J4">
        <v>0</v>
      </c>
      <c r="K4">
        <v>0</v>
      </c>
      <c r="L4">
        <v>250</v>
      </c>
      <c r="M4">
        <v>100</v>
      </c>
      <c r="N4">
        <v>500</v>
      </c>
      <c r="O4">
        <v>250</v>
      </c>
      <c r="P4">
        <v>300</v>
      </c>
      <c r="Q4">
        <v>100</v>
      </c>
      <c r="R4">
        <v>120</v>
      </c>
      <c r="S4">
        <v>140</v>
      </c>
      <c r="T4">
        <v>130</v>
      </c>
      <c r="U4">
        <v>110</v>
      </c>
      <c r="V4">
        <v>50</v>
      </c>
      <c r="W4">
        <v>25</v>
      </c>
      <c r="X4">
        <v>0</v>
      </c>
      <c r="Y4">
        <v>0</v>
      </c>
      <c r="Z4">
        <v>100</v>
      </c>
      <c r="AA4">
        <v>90</v>
      </c>
      <c r="AB4">
        <v>25</v>
      </c>
      <c r="AC4">
        <v>5</v>
      </c>
      <c r="AD4">
        <v>0</v>
      </c>
      <c r="AE4">
        <v>0</v>
      </c>
      <c r="AF4">
        <v>50</v>
      </c>
      <c r="AG4">
        <v>25</v>
      </c>
      <c r="AH4">
        <v>0</v>
      </c>
      <c r="AI4">
        <v>0</v>
      </c>
      <c r="AJ4">
        <v>50</v>
      </c>
      <c r="AK4">
        <v>25</v>
      </c>
      <c r="AL4">
        <f>B4*Prix!B$3+C4*Prix!C$3+D4*Prix!D$3+E4*Prix!E$3+F4*Prix!F$3+G4*Prix!G$3+H4*Prix!H$3+I4*Prix!I$3+J4*Prix!J$3+K4*Prix!K$3+L4*Prix!L$3+M4*Prix!M$3+N4*Prix!N$3+O4*Prix!O$3+P4*Prix!P$3+Q4*Prix!Q$3+R4*Prix!R$3+S4*Prix!S$3+T4*Prix!T$3+U4*Prix!U$3+V4*Prix!V$3+W4*Prix!W$3+X4*Prix!X$3+Y4*Prix!Y$3+Z4*Prix!Z$3+AA4*Prix!AA$3+AB4*Prix!AB$3+AC4*Prix!AC$3+AD4*Prix!AD$3+AE4*Prix!AE$3+AF4*Prix!AF$3+AG4*Prix!AG$3+AH4*Prix!AH$3+AI4*Prix!AI$3+AJ4*Prix!AJ$3+AK4*Prix!AK$3</f>
        <v>34330</v>
      </c>
    </row>
    <row r="5" spans="1:42" x14ac:dyDescent="0.3">
      <c r="A5">
        <v>3</v>
      </c>
      <c r="B5">
        <v>50</v>
      </c>
      <c r="C5">
        <v>100</v>
      </c>
      <c r="D5">
        <v>150</v>
      </c>
      <c r="E5">
        <v>50</v>
      </c>
      <c r="F5">
        <v>75</v>
      </c>
      <c r="G5">
        <v>25</v>
      </c>
      <c r="H5">
        <v>100</v>
      </c>
      <c r="I5">
        <v>90</v>
      </c>
      <c r="J5">
        <v>0</v>
      </c>
      <c r="K5">
        <v>0</v>
      </c>
      <c r="L5">
        <v>100</v>
      </c>
      <c r="M5">
        <v>50</v>
      </c>
      <c r="N5">
        <v>60</v>
      </c>
      <c r="O5">
        <v>90</v>
      </c>
      <c r="P5">
        <v>100</v>
      </c>
      <c r="Q5">
        <v>50</v>
      </c>
      <c r="R5">
        <v>30</v>
      </c>
      <c r="S5">
        <v>60</v>
      </c>
      <c r="T5">
        <v>0</v>
      </c>
      <c r="U5">
        <v>75</v>
      </c>
      <c r="V5">
        <v>25</v>
      </c>
      <c r="W5">
        <v>50</v>
      </c>
      <c r="X5">
        <v>0</v>
      </c>
      <c r="Y5">
        <v>0</v>
      </c>
      <c r="Z5">
        <v>50</v>
      </c>
      <c r="AA5">
        <v>30</v>
      </c>
      <c r="AB5">
        <v>15</v>
      </c>
      <c r="AC5">
        <v>10</v>
      </c>
      <c r="AD5">
        <v>0</v>
      </c>
      <c r="AE5">
        <v>0</v>
      </c>
      <c r="AF5">
        <v>25</v>
      </c>
      <c r="AG5">
        <v>30</v>
      </c>
      <c r="AH5">
        <v>0</v>
      </c>
      <c r="AI5">
        <v>0</v>
      </c>
      <c r="AJ5">
        <v>40</v>
      </c>
      <c r="AK5">
        <v>10</v>
      </c>
      <c r="AL5">
        <f>B5*Prix!B$3+C5*Prix!C$3+D5*Prix!D$3+E5*Prix!E$3+F5*Prix!F$3+G5*Prix!G$3+H5*Prix!H$3+I5*Prix!I$3+J5*Prix!J$3+K5*Prix!K$3+L5*Prix!L$3+M5*Prix!M$3+N5*Prix!N$3+O5*Prix!O$3+P5*Prix!P$3+Q5*Prix!Q$3+R5*Prix!R$3+S5*Prix!S$3+T5*Prix!T$3+U5*Prix!U$3+V5*Prix!V$3+W5*Prix!W$3+X5*Prix!X$3+Y5*Prix!Y$3+Z5*Prix!Z$3+AA5*Prix!AA$3+AB5*Prix!AB$3+AC5*Prix!AC$3+AD5*Prix!AD$3+AE5*Prix!AE$3+AF5*Prix!AF$3+AG5*Prix!AG$3+AH5*Prix!AH$3+AI5*Prix!AI$3+AJ5*Prix!AJ$3+AK5*Prix!AK$3</f>
        <v>22120</v>
      </c>
    </row>
    <row r="6" spans="1:42" x14ac:dyDescent="0.3">
      <c r="A6">
        <v>4</v>
      </c>
      <c r="B6">
        <v>25</v>
      </c>
      <c r="C6">
        <v>52</v>
      </c>
      <c r="D6">
        <v>30</v>
      </c>
      <c r="E6">
        <v>26</v>
      </c>
      <c r="F6">
        <v>15</v>
      </c>
      <c r="G6">
        <v>25</v>
      </c>
      <c r="H6">
        <v>50</v>
      </c>
      <c r="I6">
        <v>60</v>
      </c>
      <c r="J6">
        <v>0</v>
      </c>
      <c r="K6">
        <v>0</v>
      </c>
      <c r="L6">
        <v>30</v>
      </c>
      <c r="M6">
        <v>80</v>
      </c>
      <c r="N6">
        <v>56</v>
      </c>
      <c r="O6">
        <v>20</v>
      </c>
      <c r="P6">
        <v>15</v>
      </c>
      <c r="Q6">
        <v>26</v>
      </c>
      <c r="R6">
        <v>30</v>
      </c>
      <c r="S6">
        <v>10</v>
      </c>
      <c r="T6">
        <v>15</v>
      </c>
      <c r="U6">
        <v>25</v>
      </c>
      <c r="V6">
        <v>52</v>
      </c>
      <c r="W6">
        <v>67</v>
      </c>
      <c r="X6">
        <v>0</v>
      </c>
      <c r="Y6">
        <v>0</v>
      </c>
      <c r="Z6">
        <v>89</v>
      </c>
      <c r="AA6">
        <v>96</v>
      </c>
      <c r="AB6">
        <v>10</v>
      </c>
      <c r="AC6">
        <v>15</v>
      </c>
      <c r="AD6">
        <v>0</v>
      </c>
      <c r="AE6">
        <v>0</v>
      </c>
      <c r="AF6">
        <v>20</v>
      </c>
      <c r="AG6">
        <v>40</v>
      </c>
      <c r="AH6">
        <v>0</v>
      </c>
      <c r="AI6">
        <v>0</v>
      </c>
      <c r="AJ6">
        <v>10</v>
      </c>
      <c r="AK6">
        <v>30</v>
      </c>
      <c r="AL6">
        <f>B6*Prix!B$3+C6*Prix!C$3+D6*Prix!D$3+E6*Prix!E$3+F6*Prix!F$3+G6*Prix!G$3+H6*Prix!H$3+I6*Prix!I$3+J6*Prix!J$3+K6*Prix!K$3+L6*Prix!L$3+M6*Prix!M$3+N6*Prix!N$3+O6*Prix!O$3+P6*Prix!P$3+Q6*Prix!Q$3+R6*Prix!R$3+S6*Prix!S$3+T6*Prix!T$3+U6*Prix!U$3+V6*Prix!V$3+W6*Prix!W$3+X6*Prix!X$3+Y6*Prix!Y$3+Z6*Prix!Z$3+AA6*Prix!AA$3+AB6*Prix!AB$3+AC6*Prix!AC$3+AD6*Prix!AD$3+AE6*Prix!AE$3+AF6*Prix!AF$3+AG6*Prix!AG$3+AH6*Prix!AH$3+AI6*Prix!AI$3+AJ6*Prix!AJ$3+AK6*Prix!AK$3</f>
        <v>13037.5</v>
      </c>
    </row>
    <row r="7" spans="1:42" x14ac:dyDescent="0.3">
      <c r="A7">
        <v>5</v>
      </c>
      <c r="B7">
        <v>30</v>
      </c>
      <c r="C7">
        <v>26</v>
      </c>
      <c r="D7">
        <v>43</v>
      </c>
      <c r="E7">
        <v>52</v>
      </c>
      <c r="F7">
        <v>89</v>
      </c>
      <c r="G7">
        <v>98</v>
      </c>
      <c r="H7">
        <v>63</v>
      </c>
      <c r="I7">
        <v>21</v>
      </c>
      <c r="J7">
        <v>0</v>
      </c>
      <c r="K7">
        <v>0</v>
      </c>
      <c r="L7">
        <v>71</v>
      </c>
      <c r="M7">
        <v>58</v>
      </c>
      <c r="N7">
        <v>56</v>
      </c>
      <c r="O7">
        <v>64</v>
      </c>
      <c r="P7">
        <v>32</v>
      </c>
      <c r="Q7">
        <v>10</v>
      </c>
      <c r="R7">
        <v>20</v>
      </c>
      <c r="S7">
        <v>35</v>
      </c>
      <c r="T7">
        <v>60</v>
      </c>
      <c r="U7">
        <v>25</v>
      </c>
      <c r="V7">
        <v>52</v>
      </c>
      <c r="W7">
        <v>62</v>
      </c>
      <c r="X7">
        <v>0</v>
      </c>
      <c r="Y7">
        <v>0</v>
      </c>
      <c r="Z7">
        <v>250</v>
      </c>
      <c r="AA7">
        <v>300</v>
      </c>
      <c r="AB7">
        <v>251</v>
      </c>
      <c r="AC7">
        <v>120</v>
      </c>
      <c r="AD7">
        <v>0</v>
      </c>
      <c r="AE7">
        <v>0</v>
      </c>
      <c r="AF7">
        <v>15</v>
      </c>
      <c r="AG7">
        <v>30</v>
      </c>
      <c r="AH7">
        <v>0</v>
      </c>
      <c r="AI7">
        <v>0</v>
      </c>
      <c r="AJ7">
        <v>30</v>
      </c>
      <c r="AK7">
        <v>60</v>
      </c>
      <c r="AL7">
        <f>B7*Prix!B$3+C7*Prix!C$3+D7*Prix!D$3+E7*Prix!E$3+F7*Prix!F$3+G7*Prix!G$3+H7*Prix!H$3+I7*Prix!I$3+J7*Prix!J$3+K7*Prix!K$3+L7*Prix!L$3+M7*Prix!M$3+N7*Prix!N$3+O7*Prix!O$3+P7*Prix!P$3+Q7*Prix!Q$3+R7*Prix!R$3+S7*Prix!S$3+T7*Prix!T$3+U7*Prix!U$3+V7*Prix!V$3+W7*Prix!W$3+X7*Prix!X$3+Y7*Prix!Y$3+Z7*Prix!Z$3+AA7*Prix!AA$3+AB7*Prix!AB$3+AC7*Prix!AC$3+AD7*Prix!AD$3+AE7*Prix!AE$3+AF7*Prix!AF$3+AG7*Prix!AG$3+AH7*Prix!AH$3+AI7*Prix!AI$3+AJ7*Prix!AJ$3+AK7*Prix!AK$3</f>
        <v>22741</v>
      </c>
      <c r="AM7" s="4"/>
      <c r="AN7" s="4"/>
      <c r="AO7" s="4"/>
      <c r="AP7" s="4"/>
    </row>
    <row r="8" spans="1:42" x14ac:dyDescent="0.3">
      <c r="A8">
        <v>6</v>
      </c>
      <c r="B8">
        <v>15</v>
      </c>
      <c r="C8">
        <v>20</v>
      </c>
      <c r="D8">
        <v>52</v>
      </c>
      <c r="E8">
        <v>45</v>
      </c>
      <c r="F8">
        <v>32</v>
      </c>
      <c r="G8">
        <v>2</v>
      </c>
      <c r="H8">
        <v>51</v>
      </c>
      <c r="I8">
        <v>86</v>
      </c>
      <c r="J8">
        <v>0</v>
      </c>
      <c r="K8">
        <v>0</v>
      </c>
      <c r="L8">
        <v>94</v>
      </c>
      <c r="M8">
        <v>87</v>
      </c>
      <c r="N8">
        <v>56</v>
      </c>
      <c r="O8">
        <v>21</v>
      </c>
      <c r="P8">
        <v>320</v>
      </c>
      <c r="Q8">
        <v>25</v>
      </c>
      <c r="R8">
        <v>31</v>
      </c>
      <c r="S8">
        <v>24</v>
      </c>
      <c r="T8">
        <v>62</v>
      </c>
      <c r="U8">
        <v>85</v>
      </c>
      <c r="V8">
        <v>96</v>
      </c>
      <c r="W8">
        <v>32</v>
      </c>
      <c r="X8">
        <v>0</v>
      </c>
      <c r="Y8">
        <v>0</v>
      </c>
      <c r="Z8">
        <v>12</v>
      </c>
      <c r="AA8">
        <v>453</v>
      </c>
      <c r="AB8">
        <v>15</v>
      </c>
      <c r="AC8">
        <v>6</v>
      </c>
      <c r="AD8">
        <v>0</v>
      </c>
      <c r="AE8">
        <v>0</v>
      </c>
      <c r="AF8">
        <v>32</v>
      </c>
      <c r="AG8">
        <v>63</v>
      </c>
      <c r="AH8">
        <v>0</v>
      </c>
      <c r="AI8">
        <v>0</v>
      </c>
      <c r="AJ8">
        <v>35</v>
      </c>
      <c r="AK8">
        <v>62</v>
      </c>
      <c r="AL8">
        <f>B8*Prix!B$3+C8*Prix!C$3+D8*Prix!D$3+E8*Prix!E$3+F8*Prix!F$3+G8*Prix!G$3+H8*Prix!H$3+I8*Prix!I$3+J8*Prix!J$3+K8*Prix!K$3+L8*Prix!L$3+M8*Prix!M$3+N8*Prix!N$3+O8*Prix!O$3+P8*Prix!P$3+Q8*Prix!Q$3+R8*Prix!R$3+S8*Prix!S$3+T8*Prix!T$3+U8*Prix!U$3+V8*Prix!V$3+W8*Prix!W$3+X8*Prix!X$3+Y8*Prix!Y$3+Z8*Prix!Z$3+AA8*Prix!AA$3+AB8*Prix!AB$3+AC8*Prix!AC$3+AD8*Prix!AD$3+AE8*Prix!AE$3+AF8*Prix!AF$3+AG8*Prix!AG$3+AH8*Prix!AH$3+AI8*Prix!AI$3+AJ8*Prix!AJ$3+AK8*Prix!AK$3</f>
        <v>26958.5</v>
      </c>
      <c r="AM8" s="4"/>
      <c r="AN8" s="4"/>
      <c r="AO8" s="4"/>
      <c r="AP8" s="4"/>
    </row>
    <row r="9" spans="1:42" x14ac:dyDescent="0.3">
      <c r="A9">
        <v>7</v>
      </c>
      <c r="J9">
        <v>0</v>
      </c>
      <c r="K9">
        <v>0</v>
      </c>
      <c r="X9">
        <v>0</v>
      </c>
      <c r="Y9">
        <v>0</v>
      </c>
      <c r="AD9">
        <v>0</v>
      </c>
      <c r="AE9">
        <v>0</v>
      </c>
      <c r="AH9">
        <v>0</v>
      </c>
      <c r="AI9">
        <v>0</v>
      </c>
      <c r="AL9" s="4"/>
      <c r="AM9" s="4"/>
      <c r="AN9" s="4"/>
      <c r="AO9" s="4"/>
      <c r="AP9" s="4"/>
    </row>
    <row r="10" spans="1:42" x14ac:dyDescent="0.3">
      <c r="A10">
        <v>8</v>
      </c>
      <c r="J10">
        <v>0</v>
      </c>
      <c r="K10">
        <v>0</v>
      </c>
      <c r="X10">
        <v>0</v>
      </c>
      <c r="Y10">
        <v>0</v>
      </c>
      <c r="AD10">
        <v>0</v>
      </c>
      <c r="AE10">
        <v>0</v>
      </c>
      <c r="AH10">
        <v>0</v>
      </c>
      <c r="AI10">
        <v>0</v>
      </c>
      <c r="AL10" s="4"/>
      <c r="AM10" s="4"/>
      <c r="AN10" s="4"/>
      <c r="AO10" s="4"/>
      <c r="AP10" s="4"/>
    </row>
    <row r="11" spans="1:42" x14ac:dyDescent="0.3">
      <c r="A11">
        <v>9</v>
      </c>
      <c r="J11">
        <v>0</v>
      </c>
      <c r="K11">
        <v>0</v>
      </c>
      <c r="X11">
        <v>0</v>
      </c>
      <c r="Y11">
        <v>0</v>
      </c>
      <c r="AD11">
        <v>0</v>
      </c>
      <c r="AE11">
        <v>0</v>
      </c>
      <c r="AH11">
        <v>0</v>
      </c>
      <c r="AI11">
        <v>0</v>
      </c>
      <c r="AL11" s="4"/>
      <c r="AM11" s="4"/>
      <c r="AN11" s="4"/>
      <c r="AO11" s="4"/>
      <c r="AP11" s="4"/>
    </row>
    <row r="12" spans="1:42" x14ac:dyDescent="0.3">
      <c r="A12">
        <v>10</v>
      </c>
      <c r="J12">
        <v>0</v>
      </c>
      <c r="K12">
        <v>0</v>
      </c>
      <c r="X12">
        <v>0</v>
      </c>
      <c r="Y12">
        <v>0</v>
      </c>
      <c r="AD12">
        <v>0</v>
      </c>
      <c r="AE12">
        <v>0</v>
      </c>
      <c r="AH12">
        <v>0</v>
      </c>
      <c r="AI12">
        <v>0</v>
      </c>
      <c r="AL12" s="4"/>
      <c r="AM12" s="4"/>
      <c r="AN12" s="4"/>
      <c r="AO12" s="4"/>
      <c r="AP12" s="4"/>
    </row>
    <row r="13" spans="1:42" x14ac:dyDescent="0.3">
      <c r="A13">
        <v>11</v>
      </c>
      <c r="J13">
        <v>0</v>
      </c>
      <c r="K13">
        <v>0</v>
      </c>
      <c r="X13">
        <v>0</v>
      </c>
      <c r="Y13">
        <v>0</v>
      </c>
      <c r="AD13">
        <v>0</v>
      </c>
      <c r="AE13">
        <v>0</v>
      </c>
      <c r="AH13">
        <v>0</v>
      </c>
      <c r="AI13">
        <v>0</v>
      </c>
      <c r="AL13" s="4"/>
      <c r="AM13" s="4"/>
      <c r="AN13" s="4"/>
      <c r="AO13" s="4"/>
      <c r="AP13" s="4"/>
    </row>
    <row r="14" spans="1:42" x14ac:dyDescent="0.3">
      <c r="A14">
        <v>12</v>
      </c>
      <c r="J14">
        <v>0</v>
      </c>
      <c r="K14">
        <v>0</v>
      </c>
      <c r="X14">
        <v>0</v>
      </c>
      <c r="Y14">
        <v>0</v>
      </c>
      <c r="AD14">
        <v>0</v>
      </c>
      <c r="AE14">
        <v>0</v>
      </c>
      <c r="AH14">
        <v>0</v>
      </c>
      <c r="AI14">
        <v>0</v>
      </c>
      <c r="AL14" s="4"/>
      <c r="AM14" s="4"/>
      <c r="AN14" s="4"/>
      <c r="AO14" s="4"/>
      <c r="AP14" s="4"/>
    </row>
    <row r="15" spans="1:42" x14ac:dyDescent="0.3">
      <c r="A15">
        <v>13</v>
      </c>
      <c r="J15">
        <v>0</v>
      </c>
      <c r="K15">
        <v>0</v>
      </c>
      <c r="X15">
        <v>0</v>
      </c>
      <c r="Y15">
        <v>0</v>
      </c>
      <c r="AD15">
        <v>0</v>
      </c>
      <c r="AE15">
        <v>0</v>
      </c>
      <c r="AH15">
        <v>0</v>
      </c>
      <c r="AI15">
        <v>0</v>
      </c>
      <c r="AL15" s="4"/>
      <c r="AM15" s="4"/>
      <c r="AN15" s="4"/>
      <c r="AO15" s="4"/>
      <c r="AP15" s="4"/>
    </row>
    <row r="16" spans="1:42" x14ac:dyDescent="0.3">
      <c r="A16">
        <v>14</v>
      </c>
      <c r="J16">
        <v>0</v>
      </c>
      <c r="K16">
        <v>0</v>
      </c>
      <c r="X16">
        <v>0</v>
      </c>
      <c r="Y16">
        <v>0</v>
      </c>
      <c r="AD16">
        <v>0</v>
      </c>
      <c r="AE16">
        <v>0</v>
      </c>
      <c r="AH16">
        <v>0</v>
      </c>
      <c r="AI16">
        <v>0</v>
      </c>
      <c r="AL16" s="4"/>
      <c r="AM16" s="4"/>
      <c r="AN16" s="4"/>
      <c r="AO16" s="4"/>
      <c r="AP16" s="4"/>
    </row>
    <row r="17" spans="1:42" x14ac:dyDescent="0.3">
      <c r="A17">
        <v>15</v>
      </c>
      <c r="J17">
        <v>0</v>
      </c>
      <c r="K17">
        <v>0</v>
      </c>
      <c r="X17">
        <v>0</v>
      </c>
      <c r="Y17">
        <v>0</v>
      </c>
      <c r="AD17">
        <v>0</v>
      </c>
      <c r="AE17">
        <v>0</v>
      </c>
      <c r="AH17">
        <v>0</v>
      </c>
      <c r="AI17">
        <v>0</v>
      </c>
      <c r="AL17" s="5"/>
      <c r="AM17" s="5"/>
      <c r="AN17" s="5"/>
      <c r="AO17" s="5"/>
      <c r="AP17" s="5"/>
    </row>
    <row r="18" spans="1:42" x14ac:dyDescent="0.3">
      <c r="A18">
        <v>16</v>
      </c>
      <c r="J18">
        <v>0</v>
      </c>
      <c r="K18">
        <v>0</v>
      </c>
      <c r="X18">
        <v>0</v>
      </c>
      <c r="Y18">
        <v>0</v>
      </c>
      <c r="AD18">
        <v>0</v>
      </c>
      <c r="AE18">
        <v>0</v>
      </c>
      <c r="AH18">
        <v>0</v>
      </c>
      <c r="AI18">
        <v>0</v>
      </c>
    </row>
    <row r="19" spans="1:42" x14ac:dyDescent="0.3">
      <c r="A19">
        <v>17</v>
      </c>
      <c r="J19">
        <v>0</v>
      </c>
      <c r="K19">
        <v>0</v>
      </c>
      <c r="X19">
        <v>0</v>
      </c>
      <c r="Y19">
        <v>0</v>
      </c>
      <c r="AD19">
        <v>0</v>
      </c>
      <c r="AE19">
        <v>0</v>
      </c>
      <c r="AH19">
        <v>0</v>
      </c>
      <c r="AI19">
        <v>0</v>
      </c>
    </row>
    <row r="20" spans="1:42" x14ac:dyDescent="0.3">
      <c r="A20">
        <v>18</v>
      </c>
      <c r="J20">
        <v>0</v>
      </c>
      <c r="K20">
        <v>0</v>
      </c>
      <c r="X20">
        <v>0</v>
      </c>
      <c r="Y20">
        <v>0</v>
      </c>
      <c r="AD20">
        <v>0</v>
      </c>
      <c r="AE20">
        <v>0</v>
      </c>
      <c r="AH20">
        <v>0</v>
      </c>
      <c r="AI20">
        <v>0</v>
      </c>
    </row>
    <row r="21" spans="1:42" x14ac:dyDescent="0.3">
      <c r="A21">
        <v>19</v>
      </c>
      <c r="J21">
        <v>0</v>
      </c>
      <c r="K21">
        <v>0</v>
      </c>
      <c r="X21">
        <v>0</v>
      </c>
      <c r="Y21">
        <v>0</v>
      </c>
      <c r="AD21">
        <v>0</v>
      </c>
      <c r="AE21">
        <v>0</v>
      </c>
      <c r="AH21">
        <v>0</v>
      </c>
      <c r="AI21">
        <v>0</v>
      </c>
    </row>
    <row r="22" spans="1:42" x14ac:dyDescent="0.3">
      <c r="A22">
        <v>20</v>
      </c>
      <c r="J22">
        <v>0</v>
      </c>
      <c r="K22">
        <v>0</v>
      </c>
      <c r="X22">
        <v>0</v>
      </c>
      <c r="Y22">
        <v>0</v>
      </c>
      <c r="AD22">
        <v>0</v>
      </c>
      <c r="AE22">
        <v>0</v>
      </c>
      <c r="AH22">
        <v>0</v>
      </c>
      <c r="AI22">
        <v>0</v>
      </c>
    </row>
    <row r="23" spans="1:42" x14ac:dyDescent="0.3">
      <c r="A23">
        <v>21</v>
      </c>
      <c r="J23">
        <v>0</v>
      </c>
      <c r="K23">
        <v>0</v>
      </c>
      <c r="X23">
        <v>0</v>
      </c>
      <c r="Y23">
        <v>0</v>
      </c>
      <c r="AD23">
        <v>0</v>
      </c>
      <c r="AE23">
        <v>0</v>
      </c>
      <c r="AH23">
        <v>0</v>
      </c>
      <c r="AI23">
        <v>0</v>
      </c>
    </row>
    <row r="24" spans="1:42" x14ac:dyDescent="0.3">
      <c r="A24">
        <v>22</v>
      </c>
      <c r="J24">
        <v>0</v>
      </c>
      <c r="K24">
        <v>0</v>
      </c>
      <c r="X24">
        <v>0</v>
      </c>
      <c r="Y24">
        <v>0</v>
      </c>
      <c r="AD24">
        <v>0</v>
      </c>
      <c r="AE24">
        <v>0</v>
      </c>
      <c r="AH24">
        <v>0</v>
      </c>
      <c r="AI24">
        <v>0</v>
      </c>
    </row>
    <row r="25" spans="1:42" x14ac:dyDescent="0.3">
      <c r="A25">
        <v>23</v>
      </c>
      <c r="J25">
        <v>0</v>
      </c>
      <c r="K25">
        <v>0</v>
      </c>
      <c r="X25">
        <v>0</v>
      </c>
      <c r="Y25">
        <v>0</v>
      </c>
      <c r="AD25">
        <v>0</v>
      </c>
      <c r="AE25">
        <v>0</v>
      </c>
      <c r="AH25">
        <v>0</v>
      </c>
      <c r="AI25">
        <v>0</v>
      </c>
    </row>
    <row r="26" spans="1:42" x14ac:dyDescent="0.3">
      <c r="A26">
        <v>24</v>
      </c>
      <c r="J26">
        <v>0</v>
      </c>
      <c r="K26">
        <v>0</v>
      </c>
      <c r="X26">
        <v>0</v>
      </c>
      <c r="Y26">
        <v>0</v>
      </c>
      <c r="AD26">
        <v>0</v>
      </c>
      <c r="AE26">
        <v>0</v>
      </c>
      <c r="AH26">
        <v>0</v>
      </c>
      <c r="AI26">
        <v>0</v>
      </c>
    </row>
    <row r="27" spans="1:42" x14ac:dyDescent="0.3">
      <c r="A27">
        <v>25</v>
      </c>
    </row>
    <row r="28" spans="1:42" x14ac:dyDescent="0.3">
      <c r="A28">
        <v>26</v>
      </c>
    </row>
    <row r="29" spans="1:42" x14ac:dyDescent="0.3">
      <c r="A29">
        <v>27</v>
      </c>
    </row>
    <row r="30" spans="1:42" x14ac:dyDescent="0.3">
      <c r="A30">
        <v>28</v>
      </c>
    </row>
  </sheetData>
  <mergeCells count="10">
    <mergeCell ref="AD1:AG1"/>
    <mergeCell ref="AH1:AK1"/>
    <mergeCell ref="AL1:AL2"/>
    <mergeCell ref="A1:A2"/>
    <mergeCell ref="B1:E1"/>
    <mergeCell ref="F1:I1"/>
    <mergeCell ref="J1:M1"/>
    <mergeCell ref="N1:Q1"/>
    <mergeCell ref="R1:U1"/>
    <mergeCell ref="V1:Y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AA97C-D5EA-4A60-B029-DA3D75808170}">
  <dimension ref="B1:AN32"/>
  <sheetViews>
    <sheetView tabSelected="1" workbookViewId="0">
      <selection activeCell="AK4" sqref="AK4"/>
    </sheetView>
  </sheetViews>
  <sheetFormatPr baseColWidth="10" defaultRowHeight="14.4" x14ac:dyDescent="0.3"/>
  <cols>
    <col min="2" max="37" width="3.77734375" customWidth="1"/>
  </cols>
  <sheetData>
    <row r="1" spans="2:40" x14ac:dyDescent="0.3">
      <c r="B1" s="6" t="s">
        <v>0</v>
      </c>
      <c r="C1" s="6"/>
      <c r="D1" s="6"/>
      <c r="E1" s="6"/>
      <c r="F1" s="6" t="s">
        <v>1</v>
      </c>
      <c r="G1" s="6"/>
      <c r="H1" s="6"/>
      <c r="I1" s="6"/>
      <c r="J1" s="6" t="s">
        <v>17</v>
      </c>
      <c r="K1" s="6"/>
      <c r="L1" s="6"/>
      <c r="M1" s="6"/>
      <c r="N1" s="6" t="s">
        <v>12</v>
      </c>
      <c r="O1" s="6"/>
      <c r="P1" s="6"/>
      <c r="Q1" s="6"/>
      <c r="R1" s="6" t="s">
        <v>18</v>
      </c>
      <c r="S1" s="6"/>
      <c r="T1" s="6"/>
      <c r="U1" s="6"/>
      <c r="V1" s="6" t="s">
        <v>19</v>
      </c>
      <c r="W1" s="6"/>
      <c r="X1" s="6"/>
      <c r="Y1" s="6"/>
      <c r="Z1" t="s">
        <v>6</v>
      </c>
      <c r="AD1" s="6" t="s">
        <v>20</v>
      </c>
      <c r="AE1" s="6"/>
      <c r="AF1" s="6"/>
      <c r="AG1" s="6"/>
      <c r="AH1" s="6" t="s">
        <v>8</v>
      </c>
      <c r="AI1" s="6"/>
      <c r="AJ1" s="6"/>
      <c r="AK1" s="6"/>
    </row>
    <row r="2" spans="2:40" x14ac:dyDescent="0.3">
      <c r="B2" s="2">
        <v>1</v>
      </c>
      <c r="C2" s="2">
        <v>2</v>
      </c>
      <c r="D2" s="2">
        <v>4</v>
      </c>
      <c r="E2" s="2">
        <v>8</v>
      </c>
      <c r="F2" s="2">
        <v>1</v>
      </c>
      <c r="G2" s="2">
        <v>2</v>
      </c>
      <c r="H2" s="2">
        <v>4</v>
      </c>
      <c r="I2" s="2">
        <v>8</v>
      </c>
      <c r="J2" s="2">
        <v>1</v>
      </c>
      <c r="K2" s="2">
        <v>2</v>
      </c>
      <c r="L2" s="2">
        <v>4</v>
      </c>
      <c r="M2" s="2">
        <v>8</v>
      </c>
      <c r="N2" s="2">
        <v>1</v>
      </c>
      <c r="O2" s="2">
        <v>2</v>
      </c>
      <c r="P2" s="2">
        <v>4</v>
      </c>
      <c r="Q2" s="2">
        <v>8</v>
      </c>
      <c r="R2" s="2">
        <v>1</v>
      </c>
      <c r="S2" s="2">
        <v>2</v>
      </c>
      <c r="T2" s="2">
        <v>4</v>
      </c>
      <c r="U2" s="2">
        <v>8</v>
      </c>
      <c r="V2" s="2">
        <v>1</v>
      </c>
      <c r="W2" s="2">
        <v>2</v>
      </c>
      <c r="X2" s="2">
        <v>4</v>
      </c>
      <c r="Y2" s="2">
        <v>8</v>
      </c>
      <c r="Z2" s="2">
        <v>1</v>
      </c>
      <c r="AA2" s="2">
        <v>2</v>
      </c>
      <c r="AB2" s="2">
        <v>4</v>
      </c>
      <c r="AC2" s="2">
        <v>8</v>
      </c>
      <c r="AD2" s="2">
        <v>1</v>
      </c>
      <c r="AE2" s="2">
        <v>2</v>
      </c>
      <c r="AF2" s="2">
        <v>4</v>
      </c>
      <c r="AG2" s="2">
        <v>8</v>
      </c>
      <c r="AH2" s="2">
        <v>1</v>
      </c>
      <c r="AI2" s="2">
        <v>2</v>
      </c>
      <c r="AJ2" s="2">
        <v>4</v>
      </c>
      <c r="AK2" s="2">
        <v>8</v>
      </c>
    </row>
    <row r="3" spans="2:40" x14ac:dyDescent="0.3">
      <c r="B3" s="4">
        <v>0</v>
      </c>
      <c r="C3" s="4">
        <v>10</v>
      </c>
      <c r="D3" s="4">
        <v>19</v>
      </c>
      <c r="E3" s="4">
        <v>37</v>
      </c>
      <c r="F3" s="4">
        <v>3</v>
      </c>
      <c r="G3" s="4">
        <v>5</v>
      </c>
      <c r="H3" s="4">
        <v>9</v>
      </c>
      <c r="I3" s="4">
        <v>17</v>
      </c>
      <c r="J3" s="4">
        <v>0</v>
      </c>
      <c r="K3" s="4">
        <v>0</v>
      </c>
      <c r="L3" s="4">
        <v>14</v>
      </c>
      <c r="M3" s="4">
        <v>23</v>
      </c>
      <c r="N3" s="4">
        <v>5</v>
      </c>
      <c r="O3" s="4">
        <v>9</v>
      </c>
      <c r="P3" s="4">
        <v>17</v>
      </c>
      <c r="Q3" s="4">
        <v>33</v>
      </c>
      <c r="R3" s="4">
        <v>6</v>
      </c>
      <c r="S3" s="4">
        <v>11</v>
      </c>
      <c r="T3" s="4">
        <v>21</v>
      </c>
      <c r="U3" s="4">
        <v>41</v>
      </c>
      <c r="V3" s="4">
        <v>7</v>
      </c>
      <c r="W3" s="4">
        <v>13</v>
      </c>
      <c r="X3" s="4">
        <v>0</v>
      </c>
      <c r="Y3" s="4">
        <v>0</v>
      </c>
      <c r="Z3" s="4">
        <v>3.5</v>
      </c>
      <c r="AA3" s="4">
        <v>6</v>
      </c>
      <c r="AB3" s="4">
        <v>11</v>
      </c>
      <c r="AC3" s="4">
        <v>21</v>
      </c>
      <c r="AD3" s="4">
        <v>0</v>
      </c>
      <c r="AE3" s="4">
        <v>0</v>
      </c>
      <c r="AF3" s="4">
        <v>6</v>
      </c>
      <c r="AG3" s="4">
        <v>11</v>
      </c>
      <c r="AH3" s="4">
        <v>0</v>
      </c>
      <c r="AI3" s="4">
        <v>0</v>
      </c>
      <c r="AJ3" s="4">
        <v>11.5</v>
      </c>
      <c r="AK3" s="4">
        <v>22</v>
      </c>
      <c r="AM3">
        <v>0</v>
      </c>
      <c r="AN3">
        <v>0</v>
      </c>
    </row>
    <row r="4" spans="2:40" x14ac:dyDescent="0.3">
      <c r="B4">
        <v>0</v>
      </c>
      <c r="C4">
        <v>1</v>
      </c>
      <c r="D4">
        <v>1</v>
      </c>
      <c r="E4">
        <v>2</v>
      </c>
      <c r="F4">
        <v>1</v>
      </c>
      <c r="G4">
        <v>1</v>
      </c>
      <c r="H4">
        <v>1</v>
      </c>
      <c r="I4">
        <v>1</v>
      </c>
      <c r="J4">
        <v>0</v>
      </c>
      <c r="K4">
        <v>0</v>
      </c>
      <c r="L4">
        <v>1</v>
      </c>
      <c r="M4">
        <v>2</v>
      </c>
      <c r="N4">
        <v>1</v>
      </c>
      <c r="O4">
        <v>1</v>
      </c>
      <c r="P4">
        <v>1</v>
      </c>
      <c r="Q4">
        <v>2</v>
      </c>
      <c r="R4">
        <v>1</v>
      </c>
      <c r="S4">
        <v>1</v>
      </c>
      <c r="T4">
        <v>2</v>
      </c>
      <c r="U4">
        <v>3</v>
      </c>
      <c r="V4">
        <v>1</v>
      </c>
      <c r="W4">
        <v>1</v>
      </c>
      <c r="X4">
        <v>0</v>
      </c>
      <c r="Y4">
        <v>0</v>
      </c>
      <c r="Z4">
        <v>1</v>
      </c>
      <c r="AA4">
        <v>1</v>
      </c>
      <c r="AB4">
        <v>1</v>
      </c>
      <c r="AC4">
        <v>2</v>
      </c>
      <c r="AD4">
        <v>0</v>
      </c>
      <c r="AE4">
        <v>0</v>
      </c>
      <c r="AF4">
        <v>1</v>
      </c>
      <c r="AG4">
        <v>1</v>
      </c>
      <c r="AH4">
        <v>0</v>
      </c>
      <c r="AI4">
        <v>0</v>
      </c>
      <c r="AJ4">
        <v>1</v>
      </c>
      <c r="AK4">
        <v>2</v>
      </c>
      <c r="AM4" s="8" t="s">
        <v>23</v>
      </c>
      <c r="AN4">
        <v>1</v>
      </c>
    </row>
    <row r="5" spans="2:40" x14ac:dyDescent="0.3">
      <c r="AM5" t="s">
        <v>24</v>
      </c>
      <c r="AN5">
        <v>2</v>
      </c>
    </row>
    <row r="6" spans="2:40" x14ac:dyDescent="0.3">
      <c r="AM6" t="s">
        <v>25</v>
      </c>
      <c r="AN6">
        <v>3</v>
      </c>
    </row>
    <row r="18" spans="2:9" x14ac:dyDescent="0.3">
      <c r="B18" s="5"/>
      <c r="C18" s="5"/>
      <c r="D18" s="5"/>
      <c r="E18" s="5"/>
      <c r="F18" s="5"/>
      <c r="G18" s="5"/>
      <c r="H18" s="5"/>
      <c r="I18" s="5"/>
    </row>
    <row r="19" spans="2:9" x14ac:dyDescent="0.3">
      <c r="B19" s="5"/>
      <c r="C19" s="5"/>
      <c r="D19" s="5"/>
      <c r="E19" s="5"/>
      <c r="F19" s="5"/>
      <c r="G19" s="5"/>
      <c r="H19" s="5"/>
      <c r="I19" s="5"/>
    </row>
    <row r="20" spans="2:9" x14ac:dyDescent="0.3">
      <c r="B20" s="5"/>
      <c r="C20" s="5"/>
      <c r="D20" s="5"/>
      <c r="E20" s="5"/>
      <c r="F20" s="5"/>
      <c r="G20" s="5"/>
      <c r="H20" s="5"/>
      <c r="I20" s="5"/>
    </row>
    <row r="21" spans="2:9" x14ac:dyDescent="0.3">
      <c r="B21" s="5"/>
      <c r="C21" s="4"/>
      <c r="D21" s="4"/>
      <c r="E21" s="4"/>
      <c r="F21" s="4"/>
      <c r="G21" s="4"/>
      <c r="H21" s="5"/>
      <c r="I21" s="5"/>
    </row>
    <row r="22" spans="2:9" x14ac:dyDescent="0.3">
      <c r="B22" s="5"/>
      <c r="C22" s="5"/>
      <c r="H22" s="5"/>
      <c r="I22" s="5"/>
    </row>
    <row r="23" spans="2:9" x14ac:dyDescent="0.3">
      <c r="B23" s="5"/>
      <c r="C23" s="5"/>
      <c r="H23" s="5"/>
      <c r="I23" s="5"/>
    </row>
    <row r="24" spans="2:9" x14ac:dyDescent="0.3">
      <c r="B24" s="5"/>
      <c r="C24" s="4"/>
      <c r="H24" s="5"/>
      <c r="I24" s="5"/>
    </row>
    <row r="25" spans="2:9" x14ac:dyDescent="0.3">
      <c r="B25" s="5"/>
      <c r="C25" s="4"/>
      <c r="H25" s="5"/>
      <c r="I25" s="5"/>
    </row>
    <row r="26" spans="2:9" x14ac:dyDescent="0.3">
      <c r="B26" s="5"/>
      <c r="C26" s="4"/>
      <c r="H26" s="5"/>
      <c r="I26" s="5"/>
    </row>
    <row r="27" spans="2:9" x14ac:dyDescent="0.3">
      <c r="B27" s="5"/>
      <c r="C27" s="4"/>
      <c r="H27" s="5"/>
      <c r="I27" s="5"/>
    </row>
    <row r="28" spans="2:9" x14ac:dyDescent="0.3">
      <c r="B28" s="5"/>
      <c r="C28" s="4"/>
      <c r="H28" s="5"/>
      <c r="I28" s="5"/>
    </row>
    <row r="29" spans="2:9" x14ac:dyDescent="0.3">
      <c r="B29" s="5"/>
      <c r="C29" s="4"/>
      <c r="H29" s="5"/>
      <c r="I29" s="5"/>
    </row>
    <row r="30" spans="2:9" x14ac:dyDescent="0.3">
      <c r="B30" s="5"/>
      <c r="C30" s="4"/>
      <c r="H30" s="5"/>
      <c r="I30" s="5"/>
    </row>
    <row r="31" spans="2:9" x14ac:dyDescent="0.3">
      <c r="B31" s="5"/>
      <c r="C31" s="5"/>
      <c r="D31" s="5"/>
      <c r="E31" s="5"/>
      <c r="F31" s="5"/>
      <c r="G31" s="5"/>
      <c r="H31" s="5"/>
      <c r="I31" s="5"/>
    </row>
    <row r="32" spans="2:9" x14ac:dyDescent="0.3">
      <c r="B32" s="5"/>
      <c r="C32" s="5"/>
      <c r="D32" s="5"/>
      <c r="E32" s="5"/>
      <c r="F32" s="5"/>
      <c r="G32" s="5"/>
      <c r="H32" s="5"/>
      <c r="I32" s="5"/>
    </row>
  </sheetData>
  <mergeCells count="8">
    <mergeCell ref="AD1:AG1"/>
    <mergeCell ref="AH1:AK1"/>
    <mergeCell ref="B1:E1"/>
    <mergeCell ref="F1:I1"/>
    <mergeCell ref="J1:M1"/>
    <mergeCell ref="N1:Q1"/>
    <mergeCell ref="R1:U1"/>
    <mergeCell ref="V1:Y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85874-8700-47E3-A6D2-C4892F68090F}">
  <dimension ref="A1:AL10"/>
  <sheetViews>
    <sheetView workbookViewId="0">
      <selection activeCell="G27" sqref="G27"/>
    </sheetView>
  </sheetViews>
  <sheetFormatPr baseColWidth="10" defaultRowHeight="14.4" x14ac:dyDescent="0.3"/>
  <cols>
    <col min="1" max="1" width="9.77734375" bestFit="1" customWidth="1"/>
  </cols>
  <sheetData>
    <row r="1" spans="1:38" x14ac:dyDescent="0.3">
      <c r="A1" t="s">
        <v>22</v>
      </c>
      <c r="B1">
        <f>Plats!B3*Prix!$B$3</f>
        <v>0</v>
      </c>
      <c r="C1">
        <f>Plats!C3*Prix!C$3</f>
        <v>0</v>
      </c>
      <c r="D1">
        <f>Plats!D3*Prix!D$3</f>
        <v>19</v>
      </c>
      <c r="E1">
        <f>Plats!E3*Prix!E$3</f>
        <v>74</v>
      </c>
      <c r="F1">
        <f>Plats!F3*Prix!F$3</f>
        <v>75</v>
      </c>
      <c r="G1">
        <f>Plats!G3*Prix!G$3</f>
        <v>0</v>
      </c>
      <c r="H1">
        <f>Plats!H3*Prix!H$3</f>
        <v>225</v>
      </c>
      <c r="I1">
        <f>Plats!I3*Prix!I$3</f>
        <v>0</v>
      </c>
      <c r="J1">
        <f>Plats!J3*Prix!J$3</f>
        <v>0</v>
      </c>
      <c r="K1">
        <f>Plats!K3*Prix!K$3</f>
        <v>0</v>
      </c>
      <c r="L1">
        <f>Plats!L3*Prix!L$3</f>
        <v>28</v>
      </c>
      <c r="M1">
        <f>Plats!M3*Prix!M$3</f>
        <v>92</v>
      </c>
      <c r="N1">
        <f>Plats!N3*Prix!N$3</f>
        <v>15</v>
      </c>
      <c r="O1">
        <f>Plats!O3*Prix!O$3</f>
        <v>36</v>
      </c>
      <c r="P1">
        <f>Plats!P3*Prix!P$3</f>
        <v>85</v>
      </c>
      <c r="Q1">
        <f>Plats!Q3*Prix!Q$3</f>
        <v>330</v>
      </c>
      <c r="R1">
        <f>Plats!R3*Prix!R$3</f>
        <v>12</v>
      </c>
      <c r="S1">
        <f>Plats!S3*Prix!S$3</f>
        <v>0</v>
      </c>
      <c r="T1">
        <f>Plats!T3*Prix!T$3</f>
        <v>210</v>
      </c>
      <c r="U1">
        <f>Plats!U3*Prix!U$3</f>
        <v>0</v>
      </c>
      <c r="V1">
        <f>Plats!V3*Prix!V$3</f>
        <v>0</v>
      </c>
      <c r="W1">
        <f>Plats!W3*Prix!W$3</f>
        <v>65</v>
      </c>
      <c r="X1">
        <f>Plats!X3*Prix!X$3</f>
        <v>0</v>
      </c>
      <c r="Y1">
        <f>Plats!Y3*Prix!Y$3</f>
        <v>0</v>
      </c>
      <c r="Z1">
        <f>Plats!Z3*Prix!Z$3</f>
        <v>10.5</v>
      </c>
      <c r="AA1">
        <f>Plats!AA3*Prix!AA$3</f>
        <v>12</v>
      </c>
      <c r="AB1">
        <f>Plats!AB3*Prix!AB$3</f>
        <v>110</v>
      </c>
      <c r="AC1">
        <f>Plats!AC3*Prix!AC$3</f>
        <v>105</v>
      </c>
      <c r="AD1">
        <f>Plats!AD3*Prix!AD$3</f>
        <v>0</v>
      </c>
      <c r="AE1">
        <f>Plats!AE3*Prix!AE$3</f>
        <v>0</v>
      </c>
      <c r="AF1">
        <f>Plats!AF3*Prix!AF$3</f>
        <v>24</v>
      </c>
      <c r="AG1">
        <f>Plats!AG3*Prix!AG$3</f>
        <v>22</v>
      </c>
      <c r="AH1">
        <f>Plats!AH3*Prix!AH$3</f>
        <v>0</v>
      </c>
      <c r="AI1">
        <f>Plats!AI3*Prix!AI$3</f>
        <v>0</v>
      </c>
      <c r="AJ1">
        <f>Plats!AJ3*Prix!AJ$3</f>
        <v>57.5</v>
      </c>
      <c r="AK1">
        <f>Plats!AK3*Prix!AK$3</f>
        <v>110</v>
      </c>
      <c r="AL1">
        <f>SUM(B1:AK1)</f>
        <v>1717</v>
      </c>
    </row>
    <row r="2" spans="1:38" x14ac:dyDescent="0.3">
      <c r="A2" t="s">
        <v>22</v>
      </c>
      <c r="B2">
        <f>Plats!B4*Prix!$B$3</f>
        <v>0</v>
      </c>
      <c r="C2">
        <f>Plats!C4*Prix!C$3</f>
        <v>100</v>
      </c>
      <c r="D2">
        <f>Plats!D4*Prix!D$3</f>
        <v>285</v>
      </c>
      <c r="E2">
        <f>Plats!E4*Prix!E$3</f>
        <v>925</v>
      </c>
      <c r="F2">
        <f>Plats!F4*Prix!F$3</f>
        <v>75</v>
      </c>
      <c r="G2">
        <f>Plats!G4*Prix!G$3</f>
        <v>500</v>
      </c>
      <c r="H2">
        <f>Plats!H4*Prix!H$3</f>
        <v>180</v>
      </c>
      <c r="I2">
        <f>Plats!I4*Prix!I$3</f>
        <v>170</v>
      </c>
      <c r="J2">
        <f>Plats!J4*Prix!J$3</f>
        <v>0</v>
      </c>
      <c r="K2">
        <f>Plats!K4*Prix!K$3</f>
        <v>0</v>
      </c>
      <c r="L2">
        <f>Plats!L4*Prix!L$3</f>
        <v>3500</v>
      </c>
      <c r="M2">
        <f>Plats!M4*Prix!M$3</f>
        <v>2300</v>
      </c>
      <c r="N2">
        <f>Plats!N4*Prix!N$3</f>
        <v>2500</v>
      </c>
      <c r="O2">
        <f>Plats!O4*Prix!O$3</f>
        <v>2250</v>
      </c>
      <c r="P2">
        <f>Plats!P4*Prix!P$3</f>
        <v>5100</v>
      </c>
      <c r="Q2">
        <f>Plats!Q4*Prix!Q$3</f>
        <v>3300</v>
      </c>
      <c r="R2">
        <f>Plats!R4*Prix!R$3</f>
        <v>720</v>
      </c>
      <c r="S2">
        <f>Plats!S4*Prix!S$3</f>
        <v>1540</v>
      </c>
      <c r="T2">
        <f>Plats!T4*Prix!T$3</f>
        <v>2730</v>
      </c>
      <c r="U2">
        <f>Plats!U4*Prix!U$3</f>
        <v>4510</v>
      </c>
      <c r="V2">
        <f>Plats!V4*Prix!V$3</f>
        <v>350</v>
      </c>
      <c r="W2">
        <f>Plats!W4*Prix!W$3</f>
        <v>325</v>
      </c>
      <c r="X2">
        <f>Plats!X4*Prix!X$3</f>
        <v>0</v>
      </c>
      <c r="Y2">
        <f>Plats!Y4*Prix!Y$3</f>
        <v>0</v>
      </c>
      <c r="Z2">
        <f>Plats!Z4*Prix!Z$3</f>
        <v>350</v>
      </c>
      <c r="AA2">
        <f>Plats!AA4*Prix!AA$3</f>
        <v>540</v>
      </c>
      <c r="AB2">
        <f>Plats!AB4*Prix!AB$3</f>
        <v>275</v>
      </c>
      <c r="AC2">
        <f>Plats!AC4*Prix!AC$3</f>
        <v>105</v>
      </c>
      <c r="AD2">
        <f>Plats!AD4*Prix!AD$3</f>
        <v>0</v>
      </c>
      <c r="AE2">
        <f>Plats!AE4*Prix!AE$3</f>
        <v>0</v>
      </c>
      <c r="AF2">
        <f>Plats!AF4*Prix!AF$3</f>
        <v>300</v>
      </c>
      <c r="AG2">
        <f>Plats!AG4*Prix!AG$3</f>
        <v>275</v>
      </c>
      <c r="AH2">
        <f>Plats!AH4*Prix!AH$3</f>
        <v>0</v>
      </c>
      <c r="AI2">
        <f>Plats!AI4*Prix!AI$3</f>
        <v>0</v>
      </c>
      <c r="AJ2">
        <f>Plats!AJ4*Prix!AJ$3</f>
        <v>575</v>
      </c>
      <c r="AK2">
        <f>Plats!AK4*Prix!AK$3</f>
        <v>550</v>
      </c>
      <c r="AL2">
        <f t="shared" ref="AL2:AL8" si="0">SUM(B2:AK2)</f>
        <v>34330</v>
      </c>
    </row>
    <row r="3" spans="1:38" x14ac:dyDescent="0.3">
      <c r="A3" t="s">
        <v>22</v>
      </c>
      <c r="B3">
        <f>Plats!B5*Prix!$B$3</f>
        <v>0</v>
      </c>
      <c r="C3">
        <f>Plats!C5*Prix!C$3</f>
        <v>1000</v>
      </c>
      <c r="D3">
        <f>Plats!D5*Prix!D$3</f>
        <v>2850</v>
      </c>
      <c r="E3">
        <f>Plats!E5*Prix!E$3</f>
        <v>1850</v>
      </c>
      <c r="F3">
        <f>Plats!F5*Prix!F$3</f>
        <v>225</v>
      </c>
      <c r="G3">
        <f>Plats!G5*Prix!G$3</f>
        <v>125</v>
      </c>
      <c r="H3">
        <f>Plats!H5*Prix!H$3</f>
        <v>900</v>
      </c>
      <c r="I3">
        <f>Plats!I5*Prix!I$3</f>
        <v>1530</v>
      </c>
      <c r="J3">
        <f>Plats!J5*Prix!J$3</f>
        <v>0</v>
      </c>
      <c r="K3">
        <f>Plats!K5*Prix!K$3</f>
        <v>0</v>
      </c>
      <c r="L3">
        <f>Plats!L5*Prix!L$3</f>
        <v>1400</v>
      </c>
      <c r="M3">
        <f>Plats!M5*Prix!M$3</f>
        <v>1150</v>
      </c>
      <c r="N3">
        <f>Plats!N5*Prix!N$3</f>
        <v>300</v>
      </c>
      <c r="O3">
        <f>Plats!O5*Prix!O$3</f>
        <v>810</v>
      </c>
      <c r="P3">
        <f>Plats!P5*Prix!P$3</f>
        <v>1700</v>
      </c>
      <c r="Q3">
        <f>Plats!Q5*Prix!Q$3</f>
        <v>1650</v>
      </c>
      <c r="R3">
        <f>Plats!R5*Prix!R$3</f>
        <v>180</v>
      </c>
      <c r="S3">
        <f>Plats!S5*Prix!S$3</f>
        <v>660</v>
      </c>
      <c r="T3">
        <f>Plats!T5*Prix!T$3</f>
        <v>0</v>
      </c>
      <c r="U3">
        <f>Plats!U5*Prix!U$3</f>
        <v>3075</v>
      </c>
      <c r="V3">
        <f>Plats!V5*Prix!V$3</f>
        <v>175</v>
      </c>
      <c r="W3">
        <f>Plats!W5*Prix!W$3</f>
        <v>650</v>
      </c>
      <c r="X3">
        <f>Plats!X5*Prix!X$3</f>
        <v>0</v>
      </c>
      <c r="Y3">
        <f>Plats!Y5*Prix!Y$3</f>
        <v>0</v>
      </c>
      <c r="Z3">
        <f>Plats!Z5*Prix!Z$3</f>
        <v>175</v>
      </c>
      <c r="AA3">
        <f>Plats!AA5*Prix!AA$3</f>
        <v>180</v>
      </c>
      <c r="AB3">
        <f>Plats!AB5*Prix!AB$3</f>
        <v>165</v>
      </c>
      <c r="AC3">
        <f>Plats!AC5*Prix!AC$3</f>
        <v>210</v>
      </c>
      <c r="AD3">
        <f>Plats!AD5*Prix!AD$3</f>
        <v>0</v>
      </c>
      <c r="AE3">
        <f>Plats!AE5*Prix!AE$3</f>
        <v>0</v>
      </c>
      <c r="AF3">
        <f>Plats!AF5*Prix!AF$3</f>
        <v>150</v>
      </c>
      <c r="AG3">
        <f>Plats!AG5*Prix!AG$3</f>
        <v>330</v>
      </c>
      <c r="AH3">
        <f>Plats!AH5*Prix!AH$3</f>
        <v>0</v>
      </c>
      <c r="AI3">
        <f>Plats!AI5*Prix!AI$3</f>
        <v>0</v>
      </c>
      <c r="AJ3">
        <f>Plats!AJ5*Prix!AJ$3</f>
        <v>460</v>
      </c>
      <c r="AK3">
        <f>Plats!AK5*Prix!AK$3</f>
        <v>220</v>
      </c>
      <c r="AL3">
        <f t="shared" si="0"/>
        <v>22120</v>
      </c>
    </row>
    <row r="4" spans="1:38" x14ac:dyDescent="0.3">
      <c r="A4" t="s">
        <v>22</v>
      </c>
      <c r="B4">
        <f>Plats!B6*Prix!$B$3</f>
        <v>0</v>
      </c>
      <c r="C4">
        <f>Plats!C6*Prix!C$3</f>
        <v>520</v>
      </c>
      <c r="D4">
        <f>Plats!D6*Prix!D$3</f>
        <v>570</v>
      </c>
      <c r="E4">
        <f>Plats!E6*Prix!E$3</f>
        <v>962</v>
      </c>
      <c r="F4">
        <f>Plats!F6*Prix!F$3</f>
        <v>45</v>
      </c>
      <c r="G4">
        <f>Plats!G6*Prix!G$3</f>
        <v>125</v>
      </c>
      <c r="H4">
        <f>Plats!H6*Prix!H$3</f>
        <v>450</v>
      </c>
      <c r="I4">
        <f>Plats!I6*Prix!I$3</f>
        <v>1020</v>
      </c>
      <c r="J4">
        <f>Plats!J6*Prix!J$3</f>
        <v>0</v>
      </c>
      <c r="K4">
        <f>Plats!K6*Prix!K$3</f>
        <v>0</v>
      </c>
      <c r="L4">
        <f>Plats!L6*Prix!L$3</f>
        <v>420</v>
      </c>
      <c r="M4">
        <f>Plats!M6*Prix!M$3</f>
        <v>1840</v>
      </c>
      <c r="N4">
        <f>Plats!N6*Prix!N$3</f>
        <v>280</v>
      </c>
      <c r="O4">
        <f>Plats!O6*Prix!O$3</f>
        <v>180</v>
      </c>
      <c r="P4">
        <f>Plats!P6*Prix!P$3</f>
        <v>255</v>
      </c>
      <c r="Q4">
        <f>Plats!Q6*Prix!Q$3</f>
        <v>858</v>
      </c>
      <c r="R4">
        <f>Plats!R6*Prix!R$3</f>
        <v>180</v>
      </c>
      <c r="S4">
        <f>Plats!S6*Prix!S$3</f>
        <v>110</v>
      </c>
      <c r="T4">
        <f>Plats!T6*Prix!T$3</f>
        <v>315</v>
      </c>
      <c r="U4">
        <f>Plats!U6*Prix!U$3</f>
        <v>1025</v>
      </c>
      <c r="V4">
        <f>Plats!V6*Prix!V$3</f>
        <v>364</v>
      </c>
      <c r="W4">
        <f>Plats!W6*Prix!W$3</f>
        <v>871</v>
      </c>
      <c r="X4">
        <f>Plats!X6*Prix!X$3</f>
        <v>0</v>
      </c>
      <c r="Y4">
        <f>Plats!Y6*Prix!Y$3</f>
        <v>0</v>
      </c>
      <c r="Z4">
        <f>Plats!Z6*Prix!Z$3</f>
        <v>311.5</v>
      </c>
      <c r="AA4">
        <f>Plats!AA6*Prix!AA$3</f>
        <v>576</v>
      </c>
      <c r="AB4">
        <f>Plats!AB6*Prix!AB$3</f>
        <v>110</v>
      </c>
      <c r="AC4">
        <f>Plats!AC6*Prix!AC$3</f>
        <v>315</v>
      </c>
      <c r="AD4">
        <f>Plats!AD6*Prix!AD$3</f>
        <v>0</v>
      </c>
      <c r="AE4">
        <f>Plats!AE6*Prix!AE$3</f>
        <v>0</v>
      </c>
      <c r="AF4">
        <f>Plats!AF6*Prix!AF$3</f>
        <v>120</v>
      </c>
      <c r="AG4">
        <f>Plats!AG6*Prix!AG$3</f>
        <v>440</v>
      </c>
      <c r="AH4">
        <f>Plats!AH6*Prix!AH$3</f>
        <v>0</v>
      </c>
      <c r="AI4">
        <f>Plats!AI6*Prix!AI$3</f>
        <v>0</v>
      </c>
      <c r="AJ4">
        <f>Plats!AJ6*Prix!AJ$3</f>
        <v>115</v>
      </c>
      <c r="AK4">
        <f>Plats!AK6*Prix!AK$3</f>
        <v>660</v>
      </c>
      <c r="AL4">
        <f t="shared" si="0"/>
        <v>13037.5</v>
      </c>
    </row>
    <row r="5" spans="1:38" x14ac:dyDescent="0.3">
      <c r="A5" t="s">
        <v>22</v>
      </c>
      <c r="B5">
        <f>Plats!B7*Prix!$B$3</f>
        <v>0</v>
      </c>
      <c r="C5">
        <f>Plats!C7*Prix!C$3</f>
        <v>260</v>
      </c>
      <c r="D5">
        <f>Plats!D7*Prix!D$3</f>
        <v>817</v>
      </c>
      <c r="E5">
        <f>Plats!E7*Prix!E$3</f>
        <v>1924</v>
      </c>
      <c r="F5">
        <f>Plats!F7*Prix!F$3</f>
        <v>267</v>
      </c>
      <c r="G5">
        <f>Plats!G7*Prix!G$3</f>
        <v>490</v>
      </c>
      <c r="H5">
        <f>Plats!H7*Prix!H$3</f>
        <v>567</v>
      </c>
      <c r="I5">
        <f>Plats!I7*Prix!I$3</f>
        <v>357</v>
      </c>
      <c r="J5">
        <f>Plats!J7*Prix!J$3</f>
        <v>0</v>
      </c>
      <c r="K5">
        <f>Plats!K7*Prix!K$3</f>
        <v>0</v>
      </c>
      <c r="L5">
        <f>Plats!L7*Prix!L$3</f>
        <v>994</v>
      </c>
      <c r="M5">
        <f>Plats!M7*Prix!M$3</f>
        <v>1334</v>
      </c>
      <c r="N5">
        <f>Plats!N7*Prix!N$3</f>
        <v>280</v>
      </c>
      <c r="O5">
        <f>Plats!O7*Prix!O$3</f>
        <v>576</v>
      </c>
      <c r="P5">
        <f>Plats!P7*Prix!P$3</f>
        <v>544</v>
      </c>
      <c r="Q5">
        <f>Plats!Q7*Prix!Q$3</f>
        <v>330</v>
      </c>
      <c r="R5">
        <f>Plats!R7*Prix!R$3</f>
        <v>120</v>
      </c>
      <c r="S5">
        <f>Plats!S7*Prix!S$3</f>
        <v>385</v>
      </c>
      <c r="T5">
        <f>Plats!T7*Prix!T$3</f>
        <v>1260</v>
      </c>
      <c r="U5">
        <f>Plats!U7*Prix!U$3</f>
        <v>1025</v>
      </c>
      <c r="V5">
        <f>Plats!V7*Prix!V$3</f>
        <v>364</v>
      </c>
      <c r="W5">
        <f>Plats!W7*Prix!W$3</f>
        <v>806</v>
      </c>
      <c r="X5">
        <f>Plats!X7*Prix!X$3</f>
        <v>0</v>
      </c>
      <c r="Y5">
        <f>Plats!Y7*Prix!Y$3</f>
        <v>0</v>
      </c>
      <c r="Z5">
        <f>Plats!Z7*Prix!Z$3</f>
        <v>875</v>
      </c>
      <c r="AA5">
        <f>Plats!AA7*Prix!AA$3</f>
        <v>1800</v>
      </c>
      <c r="AB5">
        <f>Plats!AB7*Prix!AB$3</f>
        <v>2761</v>
      </c>
      <c r="AC5">
        <f>Plats!AC7*Prix!AC$3</f>
        <v>2520</v>
      </c>
      <c r="AD5">
        <f>Plats!AD7*Prix!AD$3</f>
        <v>0</v>
      </c>
      <c r="AE5">
        <f>Plats!AE7*Prix!AE$3</f>
        <v>0</v>
      </c>
      <c r="AF5">
        <f>Plats!AF7*Prix!AF$3</f>
        <v>90</v>
      </c>
      <c r="AG5">
        <f>Plats!AG7*Prix!AG$3</f>
        <v>330</v>
      </c>
      <c r="AH5">
        <f>Plats!AH7*Prix!AH$3</f>
        <v>0</v>
      </c>
      <c r="AI5">
        <f>Plats!AI7*Prix!AI$3</f>
        <v>0</v>
      </c>
      <c r="AJ5">
        <f>Plats!AJ7*Prix!AJ$3</f>
        <v>345</v>
      </c>
      <c r="AK5">
        <f>Plats!AK7*Prix!AK$3</f>
        <v>1320</v>
      </c>
      <c r="AL5">
        <f t="shared" si="0"/>
        <v>22741</v>
      </c>
    </row>
    <row r="6" spans="1:38" x14ac:dyDescent="0.3">
      <c r="A6" t="s">
        <v>22</v>
      </c>
      <c r="B6">
        <f>Plats!B8*Prix!$B$3</f>
        <v>0</v>
      </c>
      <c r="C6">
        <f>Plats!C8*Prix!C$3</f>
        <v>200</v>
      </c>
      <c r="D6">
        <f>Plats!D8*Prix!D$3</f>
        <v>988</v>
      </c>
      <c r="E6">
        <f>Plats!E8*Prix!E$3</f>
        <v>1665</v>
      </c>
      <c r="F6">
        <f>Plats!F8*Prix!F$3</f>
        <v>96</v>
      </c>
      <c r="G6">
        <f>Plats!G8*Prix!G$3</f>
        <v>10</v>
      </c>
      <c r="H6">
        <f>Plats!H8*Prix!H$3</f>
        <v>459</v>
      </c>
      <c r="I6">
        <f>Plats!I8*Prix!I$3</f>
        <v>1462</v>
      </c>
      <c r="J6">
        <f>Plats!J8*Prix!J$3</f>
        <v>0</v>
      </c>
      <c r="K6">
        <f>Plats!K8*Prix!K$3</f>
        <v>0</v>
      </c>
      <c r="L6">
        <f>Plats!L8*Prix!L$3</f>
        <v>1316</v>
      </c>
      <c r="M6">
        <f>Plats!M8*Prix!M$3</f>
        <v>2001</v>
      </c>
      <c r="N6">
        <f>Plats!N8*Prix!N$3</f>
        <v>280</v>
      </c>
      <c r="O6">
        <f>Plats!O8*Prix!O$3</f>
        <v>189</v>
      </c>
      <c r="P6">
        <f>Plats!P8*Prix!P$3</f>
        <v>5440</v>
      </c>
      <c r="Q6">
        <f>Plats!Q8*Prix!Q$3</f>
        <v>825</v>
      </c>
      <c r="R6">
        <f>Plats!R8*Prix!R$3</f>
        <v>186</v>
      </c>
      <c r="S6">
        <f>Plats!S8*Prix!S$3</f>
        <v>264</v>
      </c>
      <c r="T6">
        <f>Plats!T8*Prix!T$3</f>
        <v>1302</v>
      </c>
      <c r="U6">
        <f>Plats!U8*Prix!U$3</f>
        <v>3485</v>
      </c>
      <c r="V6">
        <f>Plats!V8*Prix!V$3</f>
        <v>672</v>
      </c>
      <c r="W6">
        <f>Plats!W8*Prix!W$3</f>
        <v>416</v>
      </c>
      <c r="X6">
        <f>Plats!X8*Prix!X$3</f>
        <v>0</v>
      </c>
      <c r="Y6">
        <f>Plats!Y8*Prix!Y$3</f>
        <v>0</v>
      </c>
      <c r="Z6">
        <f>Plats!Z8*Prix!Z$3</f>
        <v>42</v>
      </c>
      <c r="AA6">
        <f>Plats!AA8*Prix!AA$3</f>
        <v>2718</v>
      </c>
      <c r="AB6">
        <f>Plats!AB8*Prix!AB$3</f>
        <v>165</v>
      </c>
      <c r="AC6">
        <f>Plats!AC8*Prix!AC$3</f>
        <v>126</v>
      </c>
      <c r="AD6">
        <f>Plats!AD8*Prix!AD$3</f>
        <v>0</v>
      </c>
      <c r="AE6">
        <f>Plats!AE8*Prix!AE$3</f>
        <v>0</v>
      </c>
      <c r="AF6">
        <f>Plats!AF8*Prix!AF$3</f>
        <v>192</v>
      </c>
      <c r="AG6">
        <f>Plats!AG8*Prix!AG$3</f>
        <v>693</v>
      </c>
      <c r="AH6">
        <f>Plats!AH8*Prix!AH$3</f>
        <v>0</v>
      </c>
      <c r="AI6">
        <f>Plats!AI8*Prix!AI$3</f>
        <v>0</v>
      </c>
      <c r="AJ6">
        <f>Plats!AJ8*Prix!AJ$3</f>
        <v>402.5</v>
      </c>
      <c r="AK6">
        <f>Plats!AK8*Prix!AK$3</f>
        <v>1364</v>
      </c>
      <c r="AL6">
        <f t="shared" si="0"/>
        <v>26958.5</v>
      </c>
    </row>
    <row r="7" spans="1:38" x14ac:dyDescent="0.3">
      <c r="A7" t="s">
        <v>22</v>
      </c>
      <c r="B7">
        <f>Plats!B9*Prix!$B$3</f>
        <v>0</v>
      </c>
      <c r="C7">
        <f>Plats!C9*Prix!C$3</f>
        <v>0</v>
      </c>
      <c r="D7">
        <f>Plats!D9*Prix!D$3</f>
        <v>0</v>
      </c>
      <c r="E7">
        <f>Plats!E9*Prix!E$3</f>
        <v>0</v>
      </c>
      <c r="F7">
        <f>Plats!F9*Prix!F$3</f>
        <v>0</v>
      </c>
      <c r="G7">
        <f>Plats!G9*Prix!G$3</f>
        <v>0</v>
      </c>
      <c r="H7">
        <f>Plats!H9*Prix!H$3</f>
        <v>0</v>
      </c>
      <c r="I7">
        <f>Plats!I9*Prix!I$3</f>
        <v>0</v>
      </c>
      <c r="J7">
        <f>Plats!J9*Prix!J$3</f>
        <v>0</v>
      </c>
      <c r="K7">
        <f>Plats!K9*Prix!K$3</f>
        <v>0</v>
      </c>
      <c r="L7">
        <f>Plats!L9*Prix!L$3</f>
        <v>0</v>
      </c>
      <c r="M7">
        <f>Plats!M9*Prix!M$3</f>
        <v>0</v>
      </c>
      <c r="N7">
        <f>Plats!N9*Prix!N$3</f>
        <v>0</v>
      </c>
      <c r="O7">
        <f>Plats!O9*Prix!O$3</f>
        <v>0</v>
      </c>
      <c r="P7">
        <f>Plats!P9*Prix!P$3</f>
        <v>0</v>
      </c>
      <c r="Q7">
        <f>Plats!Q9*Prix!Q$3</f>
        <v>0</v>
      </c>
      <c r="R7">
        <f>Plats!R9*Prix!R$3</f>
        <v>0</v>
      </c>
      <c r="S7">
        <f>Plats!S9*Prix!S$3</f>
        <v>0</v>
      </c>
      <c r="T7">
        <f>Plats!T9*Prix!T$3</f>
        <v>0</v>
      </c>
      <c r="U7">
        <f>Plats!U9*Prix!U$3</f>
        <v>0</v>
      </c>
      <c r="V7">
        <f>Plats!V9*Prix!V$3</f>
        <v>0</v>
      </c>
      <c r="W7">
        <f>Plats!W9*Prix!W$3</f>
        <v>0</v>
      </c>
      <c r="X7">
        <f>Plats!X9*Prix!X$3</f>
        <v>0</v>
      </c>
      <c r="Y7">
        <f>Plats!Y9*Prix!Y$3</f>
        <v>0</v>
      </c>
      <c r="Z7">
        <f>Plats!Z9*Prix!Z$3</f>
        <v>0</v>
      </c>
      <c r="AA7">
        <f>Plats!AA9*Prix!AA$3</f>
        <v>0</v>
      </c>
      <c r="AB7">
        <f>Plats!AB9*Prix!AB$3</f>
        <v>0</v>
      </c>
      <c r="AC7">
        <f>Plats!AC9*Prix!AC$3</f>
        <v>0</v>
      </c>
      <c r="AD7">
        <f>Plats!AD9*Prix!AD$3</f>
        <v>0</v>
      </c>
      <c r="AE7">
        <f>Plats!AE9*Prix!AE$3</f>
        <v>0</v>
      </c>
      <c r="AF7">
        <f>Plats!AF9*Prix!AF$3</f>
        <v>0</v>
      </c>
      <c r="AG7">
        <f>Plats!AG9*Prix!AG$3</f>
        <v>0</v>
      </c>
      <c r="AH7">
        <f>Plats!AH9*Prix!AH$3</f>
        <v>0</v>
      </c>
      <c r="AI7">
        <f>Plats!AI9*Prix!AI$3</f>
        <v>0</v>
      </c>
      <c r="AJ7">
        <f>Plats!AJ9*Prix!AJ$3</f>
        <v>0</v>
      </c>
      <c r="AK7">
        <f>Plats!AK9*Prix!AK$3</f>
        <v>0</v>
      </c>
      <c r="AL7">
        <f t="shared" si="0"/>
        <v>0</v>
      </c>
    </row>
    <row r="8" spans="1:38" x14ac:dyDescent="0.3">
      <c r="A8" t="s">
        <v>22</v>
      </c>
      <c r="B8">
        <f>Plats!B10*Prix!$B$3</f>
        <v>0</v>
      </c>
      <c r="C8">
        <f>Plats!C10*Prix!C$3</f>
        <v>0</v>
      </c>
      <c r="D8">
        <f>Plats!D10*Prix!D$3</f>
        <v>0</v>
      </c>
      <c r="E8">
        <f>Plats!E10*Prix!E$3</f>
        <v>0</v>
      </c>
      <c r="F8">
        <f>Plats!F10*Prix!F$3</f>
        <v>0</v>
      </c>
      <c r="G8">
        <f>Plats!G10*Prix!G$3</f>
        <v>0</v>
      </c>
      <c r="H8">
        <f>Plats!H10*Prix!H$3</f>
        <v>0</v>
      </c>
      <c r="I8">
        <f>Plats!I10*Prix!I$3</f>
        <v>0</v>
      </c>
      <c r="J8">
        <f>Plats!J10*Prix!J$3</f>
        <v>0</v>
      </c>
      <c r="K8">
        <f>Plats!K10*Prix!K$3</f>
        <v>0</v>
      </c>
      <c r="L8">
        <f>Plats!L10*Prix!L$3</f>
        <v>0</v>
      </c>
      <c r="M8">
        <f>Plats!M10*Prix!M$3</f>
        <v>0</v>
      </c>
      <c r="N8">
        <f>Plats!N10*Prix!N$3</f>
        <v>0</v>
      </c>
      <c r="O8">
        <f>Plats!O10*Prix!O$3</f>
        <v>0</v>
      </c>
      <c r="P8">
        <f>Plats!P10*Prix!P$3</f>
        <v>0</v>
      </c>
      <c r="Q8">
        <f>Plats!Q10*Prix!Q$3</f>
        <v>0</v>
      </c>
      <c r="R8">
        <f>Plats!R10*Prix!R$3</f>
        <v>0</v>
      </c>
      <c r="S8">
        <f>Plats!S10*Prix!S$3</f>
        <v>0</v>
      </c>
      <c r="T8">
        <f>Plats!T10*Prix!T$3</f>
        <v>0</v>
      </c>
      <c r="U8">
        <f>Plats!U10*Prix!U$3</f>
        <v>0</v>
      </c>
      <c r="V8">
        <f>Plats!V10*Prix!V$3</f>
        <v>0</v>
      </c>
      <c r="W8">
        <f>Plats!W10*Prix!W$3</f>
        <v>0</v>
      </c>
      <c r="X8">
        <f>Plats!X10*Prix!X$3</f>
        <v>0</v>
      </c>
      <c r="Y8">
        <f>Plats!Y10*Prix!Y$3</f>
        <v>0</v>
      </c>
      <c r="Z8">
        <f>Plats!Z10*Prix!Z$3</f>
        <v>0</v>
      </c>
      <c r="AA8">
        <f>Plats!AA10*Prix!AA$3</f>
        <v>0</v>
      </c>
      <c r="AB8">
        <f>Plats!AB10*Prix!AB$3</f>
        <v>0</v>
      </c>
      <c r="AC8">
        <f>Plats!AC10*Prix!AC$3</f>
        <v>0</v>
      </c>
      <c r="AD8">
        <f>Plats!AD10*Prix!AD$3</f>
        <v>0</v>
      </c>
      <c r="AE8">
        <f>Plats!AE10*Prix!AE$3</f>
        <v>0</v>
      </c>
      <c r="AF8">
        <f>Plats!AF10*Prix!AF$3</f>
        <v>0</v>
      </c>
      <c r="AG8">
        <f>Plats!AG10*Prix!AG$3</f>
        <v>0</v>
      </c>
      <c r="AH8">
        <f>Plats!AH10*Prix!AH$3</f>
        <v>0</v>
      </c>
      <c r="AI8">
        <f>Plats!AI10*Prix!AI$3</f>
        <v>0</v>
      </c>
      <c r="AJ8">
        <f>Plats!AJ10*Prix!AJ$3</f>
        <v>0</v>
      </c>
      <c r="AK8">
        <f>Plats!AK10*Prix!AK$3</f>
        <v>0</v>
      </c>
      <c r="AL8">
        <f t="shared" si="0"/>
        <v>0</v>
      </c>
    </row>
    <row r="9" spans="1:38" x14ac:dyDescent="0.3">
      <c r="B9">
        <f>Plats!B11*Prix!$B$3</f>
        <v>0</v>
      </c>
    </row>
    <row r="10" spans="1:38" x14ac:dyDescent="0.3">
      <c r="B10">
        <f>Plats!B12*Prix!$B$3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Feuil1</vt:lpstr>
      <vt:lpstr>Plats</vt:lpstr>
      <vt:lpstr>Prix</vt:lpstr>
      <vt:lpstr>Feuil2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mteillery</dc:creator>
  <cp:lastModifiedBy>mteillery</cp:lastModifiedBy>
  <dcterms:created xsi:type="dcterms:W3CDTF">2018-10-26T10:42:55Z</dcterms:created>
  <dcterms:modified xsi:type="dcterms:W3CDTF">2018-11-21T16:48:56Z</dcterms:modified>
</cp:coreProperties>
</file>